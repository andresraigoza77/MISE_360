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PERSONAL\3. PARTICIPACIÓN CIUDADANA\2026\MISE\Enero\"/>
    </mc:Choice>
  </mc:AlternateContent>
  <xr:revisionPtr revIDLastSave="0" documentId="8_{429E8D67-B61D-4895-84AB-4E18C270C86D}" xr6:coauthVersionLast="47" xr6:coauthVersionMax="47" xr10:uidLastSave="{00000000-0000-0000-0000-000000000000}"/>
  <bookViews>
    <workbookView xWindow="-110" yWindow="-110" windowWidth="19420" windowHeight="10420" xr2:uid="{00000000-000D-0000-FFFF-FFFF00000000}"/>
  </bookViews>
  <sheets>
    <sheet name="4. Seguimiento 2025(2)" sheetId="1" r:id="rId1"/>
  </sheets>
  <externalReferences>
    <externalReference r:id="rId2"/>
  </externalReferences>
  <definedNames>
    <definedName name="_xlnm._FilterDatabase" localSheetId="0" hidden="1">'4. Seguimiento 2025(2)'!$A$11:$CK$61</definedName>
    <definedName name="Meses">'[1]Listas desplegables'!$A$2:$A$13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Q23" i="1" l="1"/>
  <c r="AP23" i="1"/>
  <c r="AO23" i="1"/>
  <c r="AN23" i="1"/>
  <c r="AL23" i="1"/>
  <c r="AB23" i="1" l="1"/>
</calcChain>
</file>

<file path=xl/sharedStrings.xml><?xml version="1.0" encoding="utf-8"?>
<sst xmlns="http://schemas.openxmlformats.org/spreadsheetml/2006/main" count="1616" uniqueCount="518">
  <si>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</si>
  <si>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</si>
  <si>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De</t>
  </si>
  <si>
    <t>Julio</t>
  </si>
  <si>
    <t>Periodo:</t>
  </si>
  <si>
    <t>A</t>
  </si>
  <si>
    <t>Diciembre</t>
  </si>
  <si>
    <t>Plan de Desarrollo Distrital</t>
  </si>
  <si>
    <t>Identificación general</t>
  </si>
  <si>
    <t>Características del Indicador</t>
  </si>
  <si>
    <t>Horizonte temporal</t>
  </si>
  <si>
    <t>Registro del seguimiento mensual - trimestral</t>
  </si>
  <si>
    <t>Territorialización</t>
  </si>
  <si>
    <t>Responsables</t>
  </si>
  <si>
    <t>Seguimiento presupuestal</t>
  </si>
  <si>
    <t>Aprendizaje reflexivo</t>
  </si>
  <si>
    <t>Trimestre I - 2025</t>
  </si>
  <si>
    <t>Trimestre II- 2025</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</si>
  <si>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</si>
  <si>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</si>
  <si>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</si>
  <si>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</si>
  <si>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</si>
  <si>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</si>
  <si>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</si>
  <si>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</si>
  <si>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</si>
  <si>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Dimensión</t>
  </si>
  <si>
    <t>Subdimensión</t>
  </si>
  <si>
    <t xml:space="preserve"> Componente</t>
  </si>
  <si>
    <t>Producto</t>
  </si>
  <si>
    <t xml:space="preserve"> Indicador de Producto</t>
  </si>
  <si>
    <t>Población objetivo</t>
  </si>
  <si>
    <t>Tipo de Indicador</t>
  </si>
  <si>
    <t>Fórmula de cálculo</t>
  </si>
  <si>
    <t>Variables que componen la fórmula</t>
  </si>
  <si>
    <t>Fuente de datos</t>
  </si>
  <si>
    <t>Unidad de medida del indicador</t>
  </si>
  <si>
    <t>Periodicidad de cálculo del indicador</t>
  </si>
  <si>
    <t>Fecha/periodo de actualización</t>
  </si>
  <si>
    <t>Línea base</t>
  </si>
  <si>
    <t>Año base</t>
  </si>
  <si>
    <t>Unidad de medida de la línea base</t>
  </si>
  <si>
    <t>Meta del indicador</t>
  </si>
  <si>
    <t>Año meta</t>
  </si>
  <si>
    <t>Comportamiento deseado</t>
  </si>
  <si>
    <t>Tipo de acumulación</t>
  </si>
  <si>
    <t>Resultado</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</si>
  <si>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</si>
  <si>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</si>
  <si>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</si>
  <si>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</si>
  <si>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</si>
  <si>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</si>
  <si>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</si>
  <si>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</si>
  <si>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</si>
  <si>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</si>
  <si>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</si>
  <si>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</si>
  <si>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Unidad responsable del reporte</t>
  </si>
  <si>
    <t>Código Dependencia Responsable (misional)</t>
  </si>
  <si>
    <t>Nombre Dependencia Responsable (misional)</t>
  </si>
  <si>
    <t xml:space="preserve">Código del Proyecto 
</t>
  </si>
  <si>
    <t>Nombre del Proyecto</t>
  </si>
  <si>
    <t>Meta del Proyecto</t>
  </si>
  <si>
    <t xml:space="preserve">Presupuesto programado </t>
  </si>
  <si>
    <t>Observaciones Presupuesto</t>
  </si>
  <si>
    <t>Observaciones seguimiento</t>
  </si>
  <si>
    <t>Pilar 3. Confianza y Transparencia</t>
  </si>
  <si>
    <t>3.2.2 Organizaciones sociales y comunales motores de la democracia participativa local</t>
  </si>
  <si>
    <t>No</t>
  </si>
  <si>
    <t>Gobernanza y gobernabilidad</t>
  </si>
  <si>
    <t>Marco estratégico para la participación ciudadana</t>
  </si>
  <si>
    <t>Garantías para la participación ciudadana</t>
  </si>
  <si>
    <t>Revisar y ajustar la estrategia de telecentros en el marco del paso de Municipio a Distrito y la Política Pública de Ciencia Tecnología e Innovación</t>
  </si>
  <si>
    <t xml:space="preserve">Telecentros operando y con oferta de formación para la ciudadanía </t>
  </si>
  <si>
    <t>Ciudadanía en general</t>
  </si>
  <si>
    <t>Indicador de Producto</t>
  </si>
  <si>
    <t>V1</t>
  </si>
  <si>
    <t xml:space="preserve">V1: Telecentros operando 
</t>
  </si>
  <si>
    <t>Instrumentos de registros administrativos del equipo de organizaciones sociales,  documentos técnicos  y analítica de datos integrados al   sistema de seguimiento y evaluación de la política pública de organización sociales.</t>
  </si>
  <si>
    <t>Número</t>
  </si>
  <si>
    <t xml:space="preserve">Semestral </t>
  </si>
  <si>
    <t xml:space="preserve">Número </t>
  </si>
  <si>
    <t>Mantener</t>
  </si>
  <si>
    <t>Acumulado</t>
  </si>
  <si>
    <t>Secretaría de Participación Ciudadana</t>
  </si>
  <si>
    <t xml:space="preserve">Equipo Organizaciones Sociales </t>
  </si>
  <si>
    <t>Apoyo integral a las Organizaciones y Redes Sociales</t>
  </si>
  <si>
    <t>Articulación interinstitucional</t>
  </si>
  <si>
    <t>Fortalecer y ampliar la oferta de los Centros de Desarrollo Social como escenarios para potenciar la participación ciudadana y el trabajo conjunto entre el Estado y la Ciudadanía</t>
  </si>
  <si>
    <t xml:space="preserve">CDS operando y con oferta de servicios a la ciudadanía </t>
  </si>
  <si>
    <t xml:space="preserve">V1: CDS operando y con ofeta de servicios a la ciudadania 
</t>
  </si>
  <si>
    <t xml:space="preserve">Diseño e implementación  del Centro de Innovación Social como espacio para el fortalecimiento de las organizaciones sociales </t>
  </si>
  <si>
    <t>Plan Estratégico de la Política Pública de Organizaciones Sociales implementado</t>
  </si>
  <si>
    <t>Organizaciones sociales</t>
  </si>
  <si>
    <t>(V1/V2) *100</t>
  </si>
  <si>
    <t xml:space="preserve">V1: Número de acciones de las líneas estratégicas ejecutadas
V2: Total de acciones de las líneas estratégicas planeadas. </t>
  </si>
  <si>
    <t>Instrumentos de registros administrativos de dependencias responsable y corresponsables de la política publica,  documentos técnicos  y analítica de datos integrados al   sistema de seguimiento y evaluación de la política pública de organización sociales.</t>
  </si>
  <si>
    <t xml:space="preserve">porcentaje </t>
  </si>
  <si>
    <t>Incrementar</t>
  </si>
  <si>
    <t>Gestión de la información y el conocimiento</t>
  </si>
  <si>
    <t>Gestión del conocimiento y la innovación social para la participación</t>
  </si>
  <si>
    <t>Garantizar la operatividad de los Sistemas de registro e Información de las Organizaciones Sociales del Distrito</t>
  </si>
  <si>
    <t xml:space="preserve">Sistemas de registro e Información de las Organizaciones Sociales del Distrito operando </t>
  </si>
  <si>
    <t xml:space="preserve">Porcentaje </t>
  </si>
  <si>
    <t>Agenciamiento y modelos de representación</t>
  </si>
  <si>
    <t>Habilidades y competencias para el ejercicio de la ciudadanía y los liderazgos</t>
  </si>
  <si>
    <t>Formación para la ciudadanía activa</t>
  </si>
  <si>
    <t>Consolidación de la Escuela de Formación para las Organizaciones Sociales</t>
  </si>
  <si>
    <t xml:space="preserve">Escuela de Formación para las Organizaciones Sociales creada y/o implementada </t>
  </si>
  <si>
    <t>Reconocimiento y confianza</t>
  </si>
  <si>
    <t>Relacionamiento entre actores sociales, políticos e institucionales</t>
  </si>
  <si>
    <t>Coordinación, sinergias y alianzas para el fortalecimiento a la ciudadanía</t>
  </si>
  <si>
    <t>Desarrollar acciones de creación, fortalecimiento y acompañamiento a redes de organizaciones sociales, sectoriales y poblacionales.</t>
  </si>
  <si>
    <t>Organizaciones y redes sociales potenciadas.</t>
  </si>
  <si>
    <t>V1+V2+V3</t>
  </si>
  <si>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</si>
  <si>
    <t xml:space="preserve">Formato de evaluación
Índice de sostenibilidad de las ORSOS
Informe de evaluación Organismos Comunales </t>
  </si>
  <si>
    <t xml:space="preserve">Equipo Organizaciones Sociales 
Equipo Fortalecimiento Comunal </t>
  </si>
  <si>
    <t>240182
240188</t>
  </si>
  <si>
    <t>Apoyo integral a las Organizaciones y Redes Sociales
Fortalecimiento de la gestión de los Organismos de Acción Comunal en el territorio</t>
  </si>
  <si>
    <t>Promoción y comunicación para la Movilización y la participación ciudadana</t>
  </si>
  <si>
    <t>Desarrollar acciones de acompañamiento integral a las Organizaciones sociales</t>
  </si>
  <si>
    <t>Organizaciones y redes sociales asistidas integralmente</t>
  </si>
  <si>
    <t>Desarrollar acciones de articulación interinstitucional para viabilizar la implementación de la PP de libertad de cultos y creencias religiosas</t>
  </si>
  <si>
    <t xml:space="preserve">Politica pública de libertad de creencias religiosas y de cultos formulada e implementada </t>
  </si>
  <si>
    <t xml:space="preserve"> NA </t>
  </si>
  <si>
    <t>Apoyo público-administrativo a la participación ciudadana</t>
  </si>
  <si>
    <t>Mejorar la infraestructura física y tecnológica de los equipamientos adscritos a la  de acuerdo a las necesidades y recursos disponibles.</t>
  </si>
  <si>
    <t xml:space="preserve">Infraestructura fisica y tecnologica de participación mejorada </t>
  </si>
  <si>
    <t xml:space="preserve">VI+V2 </t>
  </si>
  <si>
    <t>V1:Infraestructura fisica  mejorada 
V2: Infraestructura Tecnológica mejorada</t>
  </si>
  <si>
    <t xml:space="preserve">Instrumentos de registro administrativo del Equipo de apoyo a equipamientos sociales de la Secretaría de Participación Ciudadana </t>
  </si>
  <si>
    <t>Flujo</t>
  </si>
  <si>
    <t xml:space="preserve">Equipo equipamientos sociales </t>
  </si>
  <si>
    <t>Mantenimiento de la infraestructura de espacios de Participación en el territorio.</t>
  </si>
  <si>
    <t>Gestionar y administrar equipamientos sociales para la participación.</t>
  </si>
  <si>
    <t xml:space="preserve">Equipamientos gestionados y administrados </t>
  </si>
  <si>
    <t>V1+V2</t>
  </si>
  <si>
    <t>V1: Número de Equipamientos Sociales Gestionados (ESG)
V2 : Número de Equipamientos Sociales Administrados (ESA)</t>
  </si>
  <si>
    <t>Entregar dotación a las sedes adscritas a la  que la requieran para el cumplimiento de sus funciones de cara a la comunidad, de acuerdo a la necesidad y recursos disponibles</t>
  </si>
  <si>
    <t xml:space="preserve">Sedes adscritas a la secretaría de Participación Ciudadana dotadas. </t>
  </si>
  <si>
    <t>V1: Sedes adscritas a la secretaría de Participación Ciudadana dotadas.</t>
  </si>
  <si>
    <t>Acompañar e impulsar el diseño e Implementación de los planes de fortalecimiento interno y comunicacional de los órganos de las Asocomunales para que actúen como  agentes de cambio con los organismos de primer grado en la transformación del territorio.</t>
  </si>
  <si>
    <t>Organismos de acción comunal con asistencia técnica, acompañamiento, promoción y fomento de  gobernabilidad e incidencia territorial</t>
  </si>
  <si>
    <t>Organismos de acción comunal</t>
  </si>
  <si>
    <t xml:space="preserve">V1: Número de organismos comunales con  asistencia técnica,
V2: Número de organismos comunales con  acompañamiento
V3: Número de organismos comunales con promoción y/o  fomento de gobernabilidad e incidencia territorial. </t>
  </si>
  <si>
    <t>Informes de los gestores territoriales, actas de reunión, listados de asistencia, registro fotográfico, ficha de diagnóstico y caracterización e informes de intervención.</t>
  </si>
  <si>
    <t xml:space="preserve">Equipo Fortalecimiento Comunal </t>
  </si>
  <si>
    <t>Fortalecimiento de la gestión de los Organismos de Acción Comunal en el territorio</t>
  </si>
  <si>
    <t>Implementar el modelo pedagógico de Escuela Comunal para la formación de un liderazgo comunal y comunitario que oriente la participación activa de los ciudadanos en sus territorios.</t>
  </si>
  <si>
    <t xml:space="preserve">Modelo pedagógico para el liderazgo comunal y comunitario implementado </t>
  </si>
  <si>
    <t>Confianza social y política</t>
  </si>
  <si>
    <t>Control Social a lo público, gestión transparente y acceso a la información pública</t>
  </si>
  <si>
    <t>Actuaciones de vigilancia, inspección y control a los organismos de acción comunal realizadas</t>
  </si>
  <si>
    <t xml:space="preserve"> V1+V2+V3+V4</t>
  </si>
  <si>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</si>
  <si>
    <t>Sistema Documental Mercurio;
Instrumento de seguimiento a procedimientos VIC;
Aplicativo ARCO</t>
  </si>
  <si>
    <t xml:space="preserve">Unidad de Gestión Comunal </t>
  </si>
  <si>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</si>
  <si>
    <t xml:space="preserve">Sistema de información comunal  diseñado e implementado </t>
  </si>
  <si>
    <t>3.2.1 Promoción y garantía del derecho a la participación ciudadana incidente</t>
  </si>
  <si>
    <t>Comunicación pública y gobierno abierto</t>
  </si>
  <si>
    <t>Aportar al desarrollo, la operación y/o el mantenimiento de la plataforma digital que favorezca la comunicación e interrelación entre la ciudadanía y el Estado</t>
  </si>
  <si>
    <t>Plataformas digitales de participación operando  y/o  con mantenimiento</t>
  </si>
  <si>
    <t>Reconocimiento social, político e institucional</t>
  </si>
  <si>
    <t>Organizaciones sociales con procesos de innovación social</t>
  </si>
  <si>
    <t xml:space="preserve">Unidad de Desarrollo e Innovación </t>
  </si>
  <si>
    <t xml:space="preserve">Innovación pública y social en la transformación territorial </t>
  </si>
  <si>
    <t xml:space="preserve">Implementación y fortalecimiento de alianzas estratégicas para la promoción de la participación ciudadana. </t>
  </si>
  <si>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</si>
  <si>
    <t>Actas, Documentos y soportes físicos o magnéticos que dan cuenta del establecimiento de alianzas y/o de las acciones realizadas que dan cuenta del fortalecimiento de las alianzas.</t>
  </si>
  <si>
    <t>Implementación de estrategias de gestión del conocimiento e información en participación</t>
  </si>
  <si>
    <t>Fortalecimiento del Sistema de Información y Gestión del Conocimiento para la Participación Ciudadana</t>
  </si>
  <si>
    <t xml:space="preserve">Sistema de gestión del conocimiento de Participación Ciudadana fortalecido </t>
  </si>
  <si>
    <t>V1(0,2) +V2(0,1) +V3(0,2) + V4(0,2) + V5(0,3)</t>
  </si>
  <si>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</si>
  <si>
    <t>Plataforma siciudadania.co; documentos, productos y soportes físicos o magnéticos que dan cuenta de avances de cada uno de los procesos; informes generados</t>
  </si>
  <si>
    <t>Realizar mediciones del Índice de Participación Ciudadana</t>
  </si>
  <si>
    <t xml:space="preserve">Medición del Índice de Participación Ciudadana realizada </t>
  </si>
  <si>
    <t xml:space="preserve">V1: medición del  Índice de Participación Ciudadana realizada </t>
  </si>
  <si>
    <t>Encuestas a población (personas) activa en participación ciudadana y encuestas a colectivos y organizaciones sociales de la participación ciudadana</t>
  </si>
  <si>
    <t>Desarrollar y/o promover ejercicios de investigación que favorezcan los procesos de participación ciudadana</t>
  </si>
  <si>
    <t xml:space="preserve">Ejercicios de investigación para la participación desarrollados y/o promovidos </t>
  </si>
  <si>
    <t>Promover e implementar procesos de gestión de la información que cualifiquen la captura, gestión y análisis de la información para el ejercicio de la participación ciudadana</t>
  </si>
  <si>
    <t>Promover e implementar procesos de gestión del conocimiento para favorecer la capitalización, aprendizaje y apropiación social del conocimiento que fortalezcan la acción individual y colectiva de la ciudadanía en torno a la participación ciudadana</t>
  </si>
  <si>
    <t xml:space="preserve">Procesos de gestión del conocimiento en torno a la participación ciudadana promovidos y/o implementados  </t>
  </si>
  <si>
    <t>3.2.3 Transparencia y democratización de la Planeación del Desarrollo Local y el Presupuesto Participativo</t>
  </si>
  <si>
    <t>Fortalecer procesos formativos en torno de la Planeación del Desarrollo  Local y Presupuesto participativo</t>
  </si>
  <si>
    <t xml:space="preserve">Personas capacitadas (usuarios internos y externos) en diferentes temáticas del programa de PDLYPP  </t>
  </si>
  <si>
    <t xml:space="preserve">Unidad de Gestión Participativa </t>
  </si>
  <si>
    <t>Mejoramiento de la Presupuestación Participativa y el Desarrollo Local</t>
  </si>
  <si>
    <t>Promover la articulación entre todos los actores involucrados en el proceso de Planeación del Desarrollo Local y Presupuesto Participativo</t>
  </si>
  <si>
    <t>Acciones de articulación de actores de  PDL Y PP promovidas</t>
  </si>
  <si>
    <t>Consejos Comunales y corregimentales de Planeación
JAL
Servidores públicos
Sectores representados en los CCCP</t>
  </si>
  <si>
    <t>Legitimidad de los liderazgos</t>
  </si>
  <si>
    <t>Fortalecer a los Consejos Comunales y Corregimentales de Planeación para el pleno ejercicio de sus funciones en articulación con sus sectores en el Consejo Distrital de Participación-CDPC y el Consejo Territorial de Planeación</t>
  </si>
  <si>
    <t>Consejos Comunales y Corregimentales de Planeación</t>
  </si>
  <si>
    <t>Realizar acciones de Movilización y Difusión de Planeación de Desarrollo Local y Presupuesto Participativo como herramienta de participación</t>
  </si>
  <si>
    <t xml:space="preserve">Acciones de Movilización y Difusión de Planeación de Desarrollo Local y Presupuesto Participativo realizadas </t>
  </si>
  <si>
    <t>Realizar acciones de seguimiento a la implementación de la Ruta Planeación del Desarrollo Local y Presupuesto Participativo</t>
  </si>
  <si>
    <t>Estrategia de seguimiento de la planeación del desarrollo local y el presupuesto participativo con enfoque de eficiencia y transparencia, actualizada e implementada</t>
  </si>
  <si>
    <t xml:space="preserve">    V1(0.20)+V2(0.20)+V3(0.20)+V4(0.12)+V5(0.20)+V6(0.08)                </t>
  </si>
  <si>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</si>
  <si>
    <t xml:space="preserve">Informes de avance por fases y componentes.
Balances  sistema de seguimiento </t>
  </si>
  <si>
    <t xml:space="preserve">Priorizar recursos de presupuesto participativo, fortaleciendo el control social, la transparencia en todas las etapas del proceso y la efectiva participación de la ciudadanía </t>
  </si>
  <si>
    <t xml:space="preserve">Procesos de priorización PP  realizados </t>
  </si>
  <si>
    <t>Ciudadanía en general
Servidores y servidoras públicas</t>
  </si>
  <si>
    <t>Implementar  estrategias de acompañamiento y cualificación de las capacidades socioemocionales, administrativas y jurídicas a las Juntas Administradoras Locales para su consolidación como promotora eficaz de la  democracia participativa.</t>
  </si>
  <si>
    <t>Juntas administradoras locales</t>
  </si>
  <si>
    <t xml:space="preserve">Juntas Administradoras Locales apoyadas técnica y materialmente en el cumplimiento de sus funciones </t>
  </si>
  <si>
    <t>V1 : Número de JAL con apoyo técnico y material</t>
  </si>
  <si>
    <t>Instrumento de seguimiento del desempeño de las JAL</t>
  </si>
  <si>
    <t>Equipo asistencias a Juntas Administradoras Locales</t>
  </si>
  <si>
    <t>Apoyo técnico y material a las Juntas Administradoras Locales</t>
  </si>
  <si>
    <t>Promocionar la activa participación y el involucramiento de la ciudadanía en los asuntos públicos locales en toda la gestión de las Juntas Administradoras Locales</t>
  </si>
  <si>
    <r>
      <rPr>
        <sz val="10"/>
        <color rgb="FFFF0000"/>
        <rFont val="Arial"/>
        <family val="2"/>
      </rPr>
      <t>Juntas Administradoras Locales que rinden cuentas</t>
    </r>
    <r>
      <rPr>
        <sz val="10"/>
        <color rgb="FF000000"/>
        <rFont val="Arial"/>
        <family val="2"/>
      </rPr>
      <t xml:space="preserve"> </t>
    </r>
  </si>
  <si>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</si>
  <si>
    <t>Procesos y acciones pedagógicas orientadas y acompañadas desde el Sistema de Formación para la Participación Ciudadana</t>
  </si>
  <si>
    <t>Servidores y servidoras públicos</t>
  </si>
  <si>
    <t>V1: Número de procesos orientados y acompañados bajo los lineamientos del SFPC
V2:  Número de acciones pedagógicas  orientadas y acompañadas bajo los lineamientos del SFPC</t>
  </si>
  <si>
    <t xml:space="preserve">Instrumentos de registro administrativo de la unidad de Gestión Formativa </t>
  </si>
  <si>
    <t xml:space="preserve">Unidad de Gestión Formativa </t>
  </si>
  <si>
    <t>Desarrollo de estrategias de formación Ciudadana de participación incidente</t>
  </si>
  <si>
    <t>Crear mecanismos que permitan la difusión coordinada de la oferta formativa de las diferentes dependencias de la Alcaldía de Medellín y el conglomerado público por parte de la ciudadanía.</t>
  </si>
  <si>
    <t>Si</t>
  </si>
  <si>
    <t>Implementar procesos de formación ciudadana, que propendan por el surgimiento y la promoción de nuevos liderazgos, actores incidentes, miradas territoriales, construcción de agendas y trabajo en redes.   </t>
  </si>
  <si>
    <t>Grupos etarios, poblacionales y territoriales formados para la participación ciudadana</t>
  </si>
  <si>
    <t>Niños, niñas, jóvenes, adolescentes, adultos,
Organizaciones sociales</t>
  </si>
  <si>
    <t>V1 +V2+V3</t>
  </si>
  <si>
    <t>V1: Número de Grupos etarios formados para la participación ciudadana
V2: Número de Grupos poblacionales formados para la participación ciudadana
V3: Número de Grupos Territoriales formados para la participación ciudadana</t>
  </si>
  <si>
    <t>Sistemas de información de la Subsecretaría de Formación Ciudadana.</t>
  </si>
  <si>
    <t>Propiciar encuentros zonales de formación para la articulación, la incidencia, y el reconocimiento entre diferentes actores, escenarios e instancias de participación ciudadana</t>
  </si>
  <si>
    <t xml:space="preserve">Encuentros zonales de formación para la incidencia realizados </t>
  </si>
  <si>
    <t>Ciudadanía vinculada a escenarios, instancias o procesos participativos.</t>
  </si>
  <si>
    <t xml:space="preserve">V1: Número de encuentros zonales de formación para la incidencia </t>
  </si>
  <si>
    <t>Stock</t>
  </si>
  <si>
    <t>Surgimiento y renovación de actores, sectores y agendas de la participación</t>
  </si>
  <si>
    <t>Articular las acciones de la Catedra Comunal y las Escuelas Juveniles a través de una estrategia integrada que  active liderazgos y nuevas prácticas participativas en los territorios.</t>
  </si>
  <si>
    <t xml:space="preserve">Acciones de articulación entre la Catedra Comunal y las Escuelas Juveniles realizadas </t>
  </si>
  <si>
    <t>Jóvenes, estudiantes de las Instituciones Educativas</t>
  </si>
  <si>
    <t>NA</t>
  </si>
  <si>
    <t>Impulsar el cumplimiento y la implementación de la Política Pública de Participación Ciudadana</t>
  </si>
  <si>
    <t>Política Pública Distrital  de participación ciudadana implementada</t>
  </si>
  <si>
    <t xml:space="preserve">V1: Porcentaje de avance en la implementación de la Política Pública 
</t>
  </si>
  <si>
    <t>Modelo de seguimiento de la política pública de participación ciudadana</t>
  </si>
  <si>
    <t xml:space="preserve">Unidad de Movilización </t>
  </si>
  <si>
    <t>Implementación de la Política Pública y Sistema Distrital  De Participación.</t>
  </si>
  <si>
    <t>Articular y armonizar las políticas públicas existentes en materia de participación ciudadana: concretamente la Política de Fortalecimiento a Organizaciones Sociales y la Política de Organismos Comunales con la Política Pública de Participación Ciudadana.</t>
  </si>
  <si>
    <t>Impulsar la implementación del Sistema Distrital de Participación Ciudadana, generando sinergias y articulación en instancias, actores y espacios de participación ciudadana</t>
  </si>
  <si>
    <t>Sistema Distrital  de Participación ciudadana implementado</t>
  </si>
  <si>
    <t xml:space="preserve">V1:  Porcentaje de avance en la implementación del Sistema Distrital de Participación </t>
  </si>
  <si>
    <t>Acompañar y fortalecer al Consejo Distrital de Participación Ciudadana- CDPC como instancia que promueve, impulsa y protege el derecho a la participación.</t>
  </si>
  <si>
    <t xml:space="preserve">Acciones de acompañamiento técnico y fortalecimiento al CDPC realizadas </t>
  </si>
  <si>
    <t>Consejo de Participación Ciudadana</t>
  </si>
  <si>
    <t>Formar a los miembros del Consejo Distrital de Participación Ciudadana para que ejerzan con suficiencia sus funciones de Ley, especialmente aquellas relacionadas con la Política Pública de Participación Ciudadana y el Sistema Distrital de Participación.</t>
  </si>
  <si>
    <t>Proceso formativo al CDPC desarrollado</t>
  </si>
  <si>
    <t>Potenciar y consolidar el enfoque sectorial y la construcción de agendas desde los escenarios de participación,  a través del fortalecimiento de los procesos de representación en el marco del Consejo Distrital de Participación Ciudadana</t>
  </si>
  <si>
    <t>Redes y actores que conforman los sectores del CDPC</t>
  </si>
  <si>
    <t>Acompañar y asesorar  instancias de participación ciudadana, para que a través del mejoramiento de su funcionamiento  fortalezcan su agenciamiento, autonomía e incidencia de cara a las decisiones públicas.</t>
  </si>
  <si>
    <t>Instancias de participación ciudadana asistidas técnicamente</t>
  </si>
  <si>
    <t>Instancias de participación ciudadana</t>
  </si>
  <si>
    <t>V1: Número de instancias de participación asistidas técnicamente</t>
  </si>
  <si>
    <t>Informe de acompañamiento y evaluación a las instancias de participación ciudadana</t>
  </si>
  <si>
    <t>Consolidar la estrategia de incentivos para la participación ciudadana que visibilice y reconozca experiencias  y prácticas virtuosas e innovadoras de participación ciudadana.</t>
  </si>
  <si>
    <t xml:space="preserve">Estrategia de incentivos para la participación  Implementada </t>
  </si>
  <si>
    <t>Consejo Distrital de Participación Ciudadana</t>
  </si>
  <si>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</si>
  <si>
    <t>Mujeres lideresas formadas, sensibilizadas y acompañadas para la incidencia en los escenarios e instancias de participación ciudadana</t>
  </si>
  <si>
    <t>Mujeres lideresas adscritas a instancias de participación ciudadana</t>
  </si>
  <si>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</si>
  <si>
    <t>Informes de implementación de la estrategías Creemos en las Mujeres Lideresas</t>
  </si>
  <si>
    <t>Apoyo técnico a nuevas expresiones ciudadanas, agendas y repertorios de participación</t>
  </si>
  <si>
    <t>Visibilizar y fortalecer prácticas alternativas de participación y movilización ciudadana, nuevas agendas y expresiones ciudadanas  para incentivar la vinculación de nuevos ciudadanos y ciudadanas a los escenarios de toma de decisiones y debate sobre asuntos públicos.</t>
  </si>
  <si>
    <t>Nuevas ciudadanías, agendas y repertorios de participación ciudadana con acompañamiento institucional</t>
  </si>
  <si>
    <t>Nuevas expresiones ciudadanas de la participación</t>
  </si>
  <si>
    <t xml:space="preserve">V1: Número de actores individuales o colectivos fortalecidos
V2: Número de agendas ciudadanas monitoreadas 
V3: Número de repertorios y prácticas visibilizadas </t>
  </si>
  <si>
    <t>Informes de acompañamiento y evaluación a las nuevas ciudadanías</t>
  </si>
  <si>
    <t>Acompañar la creación e implementación de una estrategia de comunicación pública que promueva la participación ciudadana y el interés por los asuntos públicos por parte de la ciudadanía</t>
  </si>
  <si>
    <t>Claves discursivas de la PPPC incluidas en la estrategia territorial y de comunicaciones de la SPC</t>
  </si>
  <si>
    <t>Implementar y acompañar estrategias formativas para la promoción y fortalecimiento del control social a la gestión pública</t>
  </si>
  <si>
    <t>Organizaciones, instancias e iniciativas ciudadanas, promovidas o fortalecidas en mecanismos de participación ciudadana, control social, gestión transparente, rendición social y pública de cuentas</t>
  </si>
  <si>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</si>
  <si>
    <t>Base de datos que consolida las organizaciones, instancias e iniciativas que participan de las acciones de promoción y fortalecimiento en  mecanismos de participación ciudadana, control social, gestión transparente, rendición social y pública de cuentas.</t>
  </si>
  <si>
    <t xml:space="preserve">Equipo de Control Social </t>
  </si>
  <si>
    <t>Control Social a la gestión pública en el territorio.</t>
  </si>
  <si>
    <t>Implementar y acompañar estrategias de promoción y fortalecimiento de la rendición social y pública de cuentas</t>
  </si>
  <si>
    <t xml:space="preserve">Estrategias de rendición social y Públicas de cuentas acompañadas y/o implementadas   </t>
  </si>
  <si>
    <t>Ciudadanía en general
Organizaciones sociales</t>
  </si>
  <si>
    <t xml:space="preserve"> Registros administrativos generados por el equipo de control social </t>
  </si>
  <si>
    <t xml:space="preserve">Persona responsable </t>
  </si>
  <si>
    <t xml:space="preserve">Daniel Miranda </t>
  </si>
  <si>
    <t>Daniel Miranda 
Claudia Isaza</t>
  </si>
  <si>
    <t>Jorge H. Suarez</t>
  </si>
  <si>
    <t>Claudia Isaza</t>
  </si>
  <si>
    <t>Ana Puerta</t>
  </si>
  <si>
    <t xml:space="preserve">Marta Elsy Echeverri </t>
  </si>
  <si>
    <t>Jhon J. Arredondo</t>
  </si>
  <si>
    <t>Luis David Torres</t>
  </si>
  <si>
    <t xml:space="preserve">Oriana Galindo </t>
  </si>
  <si>
    <t xml:space="preserve">Ana Catalina Restrepo </t>
  </si>
  <si>
    <t xml:space="preserve"> V1</t>
  </si>
  <si>
    <t xml:space="preserve"> V1+ V2</t>
  </si>
  <si>
    <t>V1:Claves discursivas de la PPPC incluidas en la estrategia territorial 
V2: Claves discursivas de la PPPC incluidas en la estrategia  de comunicación de la SPC</t>
  </si>
  <si>
    <t xml:space="preserve"> Registros administrativos generados por la Unidad de Movilización </t>
  </si>
  <si>
    <t xml:space="preserve">V1+ V2 </t>
  </si>
  <si>
    <t>V1: Proceso formativo al CDPC desarrollado</t>
  </si>
  <si>
    <t xml:space="preserve">V1 </t>
  </si>
  <si>
    <t xml:space="preserve">V1: Número de Juntas Administradoras Locales que rinden cuentas </t>
  </si>
  <si>
    <t xml:space="preserve">V1: Número de Acciones de articulación( cátedra comunal y escuelas juveniles)  realizadas </t>
  </si>
  <si>
    <t xml:space="preserve">V1: número de acciones de acompañamiento técnico al CDPC realizadas 
V2: Número de acciones de  fortalecimiento al CDPC realizadas </t>
  </si>
  <si>
    <t xml:space="preserve">V1:Porcentaje de la estrategia de incentivos para la participación  Implementada </t>
  </si>
  <si>
    <t xml:space="preserve">V1: Estrategias de rendición social y Públicas de cuentas acompañadas y/o implementadas   </t>
  </si>
  <si>
    <t xml:space="preserve"> Registros administrativos generados por el equipo de Asistencia a Juntas Administradoras Locales </t>
  </si>
  <si>
    <t xml:space="preserve">V1: Procesos de priorización PP  realizados </t>
  </si>
  <si>
    <t xml:space="preserve">Instrumentos de registro administrativo de la unidad de Gestión Participativa </t>
  </si>
  <si>
    <t>V1: Número de acciones de Movilización  de Planeación de Desarrollo Local y Presupuesto Participativo realizadas
V2: Número de acciones de Difusión de Planeación de Desarrollo Local y Presupuesto Participativo realizadas</t>
  </si>
  <si>
    <t xml:space="preserve">Informes de avance por fases y componentes.
de la ruta de PDL Y PP </t>
  </si>
  <si>
    <t xml:space="preserve">V1: porcentaje de Sistemas de registro e Información de las Organizaciones Sociales del Distrito operando </t>
  </si>
  <si>
    <t xml:space="preserve">V1: Porcentaje de Escuela de Formación para las Organizaciones Sociales creada y/o implementada </t>
  </si>
  <si>
    <t xml:space="preserve">V1: Número de asistencias integrales ejecutadas </t>
  </si>
  <si>
    <t xml:space="preserve">V1: Modelo pedagógico para el liderazgo comunal y comunitario implementado </t>
  </si>
  <si>
    <t xml:space="preserve">Instrumentos de registro administrativo del Equipo de fortalecimiuento comunal  de la Secretaría de Participación Ciudadana </t>
  </si>
  <si>
    <t xml:space="preserve">V1: Porcentaje del Sistema de información comunal  diseñado 
V2: Porcentaje del Sistema de información comunal implementado  </t>
  </si>
  <si>
    <t xml:space="preserve"> V1: Número de  Plataformas digitales de participación operando y/o con mantenimiento 
 </t>
  </si>
  <si>
    <t>V1: Número de personas capacitadas en temas de PDL Y PP</t>
  </si>
  <si>
    <t>V1: Número de acciones  de articulación de actores de  PDL Y PP promovidas</t>
  </si>
  <si>
    <t xml:space="preserve">V1: Número de procesos de gestión del  conocimiento en torno a la participación ciudadana promovidos y/o implementados  </t>
  </si>
  <si>
    <t xml:space="preserve">V1:  Número de ejercicios de investigación para la participación desarrollados y/o promovidos </t>
  </si>
  <si>
    <t xml:space="preserve">V1: Número de Procesos de gestión de la información para el ejercicio de la participación ciudadana promovidos </t>
  </si>
  <si>
    <t xml:space="preserve">Instrumentos de registro administrativo de la Unidad de Desarrollo e Innovación de la Secretaría de Participación Ciudadana </t>
  </si>
  <si>
    <t xml:space="preserve">Instrumentos de registro administrativo de la Unidad de Gestión participativa de la Secretaría de Participación Ciudadana </t>
  </si>
  <si>
    <t>PERIODO DEL SEGUIMIENTO: TRIMESTRES I Y II  2025.</t>
  </si>
  <si>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</si>
  <si>
    <t>actas, registros fotográficos, correos electrónicos, oficios, documentos</t>
  </si>
  <si>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</si>
  <si>
    <t xml:space="preserve">Durante el periodo se da acompañamiento al CDPC como escenarios de articulación, seguimiento e impulso a la PPPC, </t>
  </si>
  <si>
    <t>El proceso formativo inicia en el mes de julio y termina en el mes de agosto</t>
  </si>
  <si>
    <t>N/A</t>
  </si>
  <si>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</si>
  <si>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</si>
  <si>
    <t xml:space="preserve">Estudios previos
Documentos contractuales </t>
  </si>
  <si>
    <t>Para el perido se adelantan acciones de planeación y no se da inicio a la ejecución</t>
  </si>
  <si>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</si>
  <si>
    <t>actas, registros fotográficos, correos electrónicos, oficios, documentos, videos</t>
  </si>
  <si>
    <t>Durante el periodo se fortalecieron 19 colectivos, se monitorearon 6 agendas ciudadanas y se visibilizaron 17 prácticas de las nuevas ciudadanías, superando en 2 la meta establecida para el periodo.</t>
  </si>
  <si>
    <t>Resolución 0279 de 2025</t>
  </si>
  <si>
    <t>33 procesos formativos en el período abril-junio 2025</t>
  </si>
  <si>
    <t>Actas, listados de asistencia, registro fotográfico</t>
  </si>
  <si>
    <t>Femenino y masculino</t>
  </si>
  <si>
    <t>Todas las edades</t>
  </si>
  <si>
    <t>ARCO- NAS</t>
  </si>
  <si>
    <t>Favorecer la innovación social para la cualificación de la participación ciudadana en el marco de CiudadaníaLab</t>
  </si>
  <si>
    <t>Estrategias de promoción de la innovación social y la cooperación diseñadas e implementadas en el marco de Ciudadanía Lab</t>
  </si>
  <si>
    <t>V1(0,2) +V2(0,2) +V3(0,2) + V4(0,2) + V5(0,2)</t>
  </si>
  <si>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</si>
  <si>
    <t>Documentos y soportes físicos o magnéticos que  dan cuenta el diseño e implementación de las estrategias de promoción de la innovación social en el marco de la participación ciudadana.</t>
  </si>
  <si>
    <t>No aplica</t>
  </si>
  <si>
    <t>Este indicador es acumulado, por lo que en el resultado se tiene en cuenta el valor acumulado del año 2024. La fuente de verificación corresponde a actas de reunión de los acompañamientos realizados en el marco de CiudadaníaLab</t>
  </si>
  <si>
    <t>https://medellingovco-my.sharepoint.com/:f:/g/personal/43617246_medellin_gov_co/Ej2wTTve419OtSLZnFH-EzIBzwQU-L7jN1VwDPSIwExVgg?e=gIAKtZ</t>
  </si>
  <si>
    <t>La fuente de verificación corresponde a las actas de reunión de los encuentros adelantados con los aliados</t>
  </si>
  <si>
    <t>https://medellingovco-my.sharepoint.com/:f:/g/personal/43617246_medellin_gov_co/EsCfTWJg5lBPnlDum8EPn_oBWrHFpoGgZkfTDmWD-zmcfQ?e=4VmwVH</t>
  </si>
  <si>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</si>
  <si>
    <t>https://medellingovco-my.sharepoint.com/:f:/g/personal/43617246_medellin_gov_co/Ev8SmM7S0rFDihqXLu0WvgEBiAscR2IkLfBkrv5grRthiw?e=8nkogs</t>
  </si>
  <si>
    <t>La medición del IPCM se realiza de manera bienal. Para el 2025 la medición se realizará en el segundo semestre, por lo que el reporte final tendrá lugar en el 4 trimestre del año.</t>
  </si>
  <si>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</si>
  <si>
    <t>Informes de supervisión SECOP II</t>
  </si>
  <si>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</si>
  <si>
    <t>Todas las comunas y corregimientos</t>
  </si>
  <si>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</si>
  <si>
    <t>\\nas1\Alcaldia\210-PCIU\Dir-Admtva\Cmn-Admtva\Plan Indicativo\2025\EVIDENCIAS PI</t>
  </si>
  <si>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</si>
  <si>
    <t>Se computan las sedes adscritas a la Secretaría de Participación Ciudadana</t>
  </si>
  <si>
    <t>ERP SAP</t>
  </si>
  <si>
    <t>21 Juntas Administradoras Locales
10 Organizaciones sociales  - Red ORSO C7
21 Juntas Administradoras Locales y 10 Organizaciones sociales  fortalecidas en mecanismos de participación ciudadana, gestión transparente y rendición social y pública de cuentas</t>
  </si>
  <si>
    <t>Actas; listados de aisencia; registro fotográfico</t>
  </si>
  <si>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</si>
  <si>
    <t>Plan de Acción
Plan Indicativo
Actas; listados de aisencia; registro fotográfico</t>
  </si>
  <si>
    <t>Actas, informes, documentos, oficios, correos electrónicos</t>
  </si>
  <si>
    <t>X</t>
  </si>
  <si>
    <t>1,2,3,4,5,6,7,8,9,10,11,12,13,14,15,16,50, 60,70,80,90</t>
  </si>
  <si>
    <t xml:space="preserve">21 Juntas administradoras Locales del distrito recibieron  apoyo técnico y material , como : Pago de honorarios, seguro de vida , seguridad social , incentivo de transporte, telefonía , acompañamiento, asesoría,  entre otras. </t>
  </si>
  <si>
    <t>Listados de asistencias y actas, registro fotográfico</t>
  </si>
  <si>
    <t>El equipo operador de los telecentros comenzó su Gestión en el mes de mayo</t>
  </si>
  <si>
    <t>En el tercer trimestre se espera tener los 20 TLC funcionando</t>
  </si>
  <si>
    <t>El equipo operador de los CDS comnezó su contratación en el mes de abril</t>
  </si>
  <si>
    <t>Todos los CDS funcionando</t>
  </si>
  <si>
    <t>2, 3, 4, 6 ,7, 8, 9, 10 ,11 ,13, 16, 60 y 80</t>
  </si>
  <si>
    <t>Listado de asistencias, actas e informes</t>
  </si>
  <si>
    <t>listados de asistencias y actas e informes</t>
  </si>
  <si>
    <t xml:space="preserve"> El avance da cuenta de las acciones de las líneas estratégicas de la política  pública ejecutadas  del total de acciones programadas </t>
  </si>
  <si>
    <t>Equipo Territorial fue contratado desde el mes de abril</t>
  </si>
  <si>
    <t>listado de asistemcia y actas, registro fortagrafico</t>
  </si>
  <si>
    <t xml:space="preserve">El reporte da cuenta de las organizaciones y redes sociales que han recibido asistencia técnica integral ( caracterización, asesoría , capacitación, acciones de visibilización , etc. ) </t>
  </si>
  <si>
    <t xml:space="preserve">El avance corresponde a reuniones de encuadre metodológico con el  DAP </t>
  </si>
  <si>
    <t>Se eligió my puso en marcha  el comité de de impulso de la PP. Se espera que en los siguientes dos trimetsres avanzar en las acciones estratégicas propuestas</t>
  </si>
  <si>
    <t>Este indicador es compartido con el equipo JAC</t>
  </si>
  <si>
    <t>listado de asistencia y actas, registro fotagráfico</t>
  </si>
  <si>
    <t>\\nas1\Alcaldia\210-PCIU\21040-S-PPP\U-GestPart-DlloLcal\Cmn-GestPartDlloLcal\PHVA-PL-PP\PHVA 2025 PL Y PP\3. VERIFICAR\SEG_PLAN_INDIC\3.2.3.2 SSE</t>
  </si>
  <si>
    <t>\\nas1\Alcaldia\210-PCIU\21040-S-PPP\U-GestPart-DlloLcal\Cmn-GestPartDlloLcal\PHVA-PL-PP\PHVA 2025 PL Y PP\3. VERIFICAR\SEG_PLAN_INDIC</t>
  </si>
  <si>
    <t>\\nas1\Alcaldia\210-PCIU\21040-S-PPP\U-GestPart-DlloLcal\Cmn-GestPartDlloLcal\PHVA-PL-PP\PHVA 2025 PL Y PP\3. VERIFICAR\SEG_PLAN_ACCION\240193_PC93DA</t>
  </si>
  <si>
    <t xml:space="preserve"> 
Claudia Isaza
Daniel Miranda</t>
  </si>
  <si>
    <t xml:space="preserve">Procesos de gestión de la información para el ejercicio de la participación ciudadana promovidos </t>
  </si>
  <si>
    <t>Velar, a través de acciones de inspección, vigilancia y control porque los organismos de acción comunal del Distrito, como interlocutores legítimos  de las necesidades de sus comunidades, cumplan con la normatividad y los principios comunales.</t>
  </si>
  <si>
    <t xml:space="preserve">Corresponde al Número de actuaciones realizadas a Organismos comunales ( trámites, vigilancias, inspecciones) </t>
  </si>
  <si>
    <t>Nelson Sierra</t>
  </si>
  <si>
    <t xml:space="preserve">Instrumentos de registro administrativo del Equipo de fortalecimiento comunal  de la Secretaría de Participación Ciudadana </t>
  </si>
  <si>
    <t xml:space="preserve">Alianzas para promover la participación realizadas </t>
  </si>
  <si>
    <t>Proveer y monitorear el apoyo humano y material a la Juntas Administradoras Locales para el buen ejercicio de sus funciones constitucionales, legales y normativas en pro del desarrollo local.</t>
  </si>
  <si>
    <t xml:space="preserve"> Registros administrativos generados para unidad de Gestión Formativa
 Sistema de información de la Subsecretaría de Formación Ciudadana.</t>
  </si>
  <si>
    <t xml:space="preserve">Políticas Publicas en materia de participación articuladas  </t>
  </si>
  <si>
    <t xml:space="preserve">V1: Número de Políticas Publicas en materia de participación articuladas </t>
  </si>
  <si>
    <t xml:space="preserve"> se elabora la propuesta técnica de la estrategia de participación entorno a la construcción de los PDL y POT.</t>
  </si>
  <si>
    <t xml:space="preserve">En el periodo y en el marco del contrato interadministrativo celebrado con la UdeA se recibe el primer entregable con la programación de la recolección de insumos a través de los talleres que realizaran en las 21 comuninas del Distrito. </t>
  </si>
  <si>
    <t xml:space="preserve">Espacios de representación del CDPC potenciados y/o fortalecidos   </t>
  </si>
  <si>
    <t>V1: Número de Espacios de representación del CDPC potenciados y/o fortalecidos</t>
  </si>
  <si>
    <t>Para el periodo se adelantan acciones de planeación para la asistencia técnica a instancias, adicionalmente se desarrolla la sesión ordinaria del CDPC de forma mensual</t>
  </si>
  <si>
    <t>El avance corresponde a las capacitaciones entorno a las etapas de la ruta y la metodologia aplicar en los talleres de recoleccion de insumos con los enlaces MES y los dinamizadores.</t>
  </si>
  <si>
    <t>\\nas1\Alcaldia\210-PCIU\21040-S-PPP\U-GestPart-DlloLcal\Cmn-GestPartDlloLcal\PHVA-PL-PP\PHVA 2025 PL Y PP\3. VERIFICAR\SEG_PLAN_ACCION\240193_PC93BA</t>
  </si>
  <si>
    <t>Corresponde a personas capacitadas en la Ruta de PP, Tallees de recolección de insumos y estrategia de capacitación a jóevenes de IE</t>
  </si>
  <si>
    <t>El avance corresponde a los espacios de aplicación de IAG, pedagogia PP, Acompañamiento a otros actores y acompañamiento a ejecución de proyectos.</t>
  </si>
  <si>
    <t>El avance corresponde a los espacios, Acompañamiento a otros actores, pedagogia PP y talleres de recoleccion de insunmos.</t>
  </si>
  <si>
    <t>Pocentaje</t>
  </si>
  <si>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</si>
  <si>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</si>
  <si>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</si>
  <si>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</si>
  <si>
    <t>Se avanza en la elaboración de  Instrumentos Anuales de Planeación - IAG, en la fase de Planeación Participativa y se realiza pedagogía en cuanto a la planeación participativa; los cuales son fundamentales para la ejecución de la priorización participativa.</t>
  </si>
  <si>
    <t>\\nas1\Alcaldia\210-PCIU\21040-S-PPP\U-GestPart-DlloLcal\Cmn-GestPartDlloLcal\PHVA-PL-PP\PHVA 2025 PL Y PP\3. VERIFICAR\SEG_PLAN_ACCION\240193_PC93EA</t>
  </si>
  <si>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</si>
  <si>
    <t xml:space="preserve">Informes consolidados </t>
  </si>
  <si>
    <t>\\NAS1\Alcaldia\210-PCIU\21030-S-OrgSoc\E-Fort-Cmnal\Cmn-Fort-Cmnal\2025\1. PI-PA2025\PA\PC88EA (125) Instancias territoriales de coordinación institucional asistidas y apoyadas</t>
  </si>
  <si>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</si>
  <si>
    <t>Capacidad</t>
  </si>
  <si>
    <t>En el mes de mayo inició el contrato con Servisoft para la actualización de los módulos comunales de ARCO</t>
  </si>
  <si>
    <t>No aplica desagregación poblacional ni territorial</t>
  </si>
  <si>
    <t>Sistema activo, actas de reunión, listados de asistencia, informes de supervisión</t>
  </si>
  <si>
    <t xml:space="preserve">El avance corresponde a 122 grupos en formación mediante la estrategia NADA DE Nervios , 12 gr4upos de escuela de formación  ciudadna </t>
  </si>
  <si>
    <t xml:space="preserve"> Documentos  de soporte administrativo alojados en la NAS</t>
  </si>
  <si>
    <t xml:space="preserve">La acciones de incidencia tiene lugar una vez culmina n los procesos formativos </t>
  </si>
  <si>
    <t xml:space="preserve"> Corresponde a las acciones de orientación a través del COP; Inducción corporativa, Comodatos, Recolección de insumos, Apoyo Jal, Unidad VIC, El Lider SOS Vos, entre otros. </t>
  </si>
  <si>
    <t xml:space="preserve"> Corresponde a las acciones de orientación en el marco del Sistema de Formación para la Participación a través del CO.P</t>
  </si>
  <si>
    <t>Trimestre III- 2025</t>
  </si>
  <si>
    <t>Presupuesto ejecutado
Septiembre 30_2025</t>
  </si>
  <si>
    <t xml:space="preserve">La estrategia de los Telecentros se ncuentra migrando al centro de innovación de las organizaciones </t>
  </si>
  <si>
    <t xml:space="preserve"> El avance corresponde a las actividades desarrolladas en las distintas fases de la política pública, con un total de 7 acciones implemetadas  y 9 en procesos, entre las que se destacan;  el centro de innovación y el banco de buenas prácticas </t>
  </si>
  <si>
    <t xml:space="preserve">el avance da cuenta del potenciamiento de las capacidades organizativas y de gestión de los organismos comunales las organizaciones y redes sociales para su real incidencia , articulación y cohesión territorial </t>
  </si>
  <si>
    <t>Se evidencia un avance del 41,29% en la implementación del plan estratégico, correspondiente al desarrollo progresivo de sus cuatro fases: identificación, formulación, prueba e implementación</t>
  </si>
  <si>
    <t>El avance corresponde al desarrollo de activides de la fase 2 de participación y la fase 4 de paz con enfoque territorial de la política pública, destacándose la realización del acto conmemorativo de paz</t>
  </si>
  <si>
    <t xml:space="preserve">Se esta a la espera del cumplimiento de requisitos por parte de las Juntas de Acción Comunal para poder entregar los bienes muebles en préstamo de uso </t>
  </si>
  <si>
    <t xml:space="preserve">Corresponde  a los organismos comunales identificados, diagnosticados  que han recibido asesoría, capacitación, acciones de fomento </t>
  </si>
  <si>
    <t>Listado de asistencias, actas e informes, actos administrativos, registros.</t>
  </si>
  <si>
    <t>El valor reportado corresponde a las actuaciones realizadas a los Organismos de Acción Comunal, clasificadas en tres tipos: de vigilancia (resoluciones de personería, inscripción de dignatarios, reformas
estatutarias, registros, desistimientos, asesorías, acompañamientos, capacitaciones y constancias de territorio), de inspección (auditorías e informes finales) y de control (actos administrativos e informes finales).</t>
  </si>
  <si>
    <t>Se avanzó en la consolidación de procesos de articulación y fortalecimiento ciudadano a través de diferentes acciones estratégicas. Se definió la ruta de acción de CiudadaníaLab, se construyó un modelo de
gobernanza y se conformó el comité de articulación interna del SPC. Asimismo, se formuló una propuesta para la identificación de buenas prácticas de organizaciones sociales y se estructuró el Banco de Buenas
Prácticas. Se realizaron visitas de acercamiento para el registro de experiencias a colectivos y organizaciones como Lectores a la Hamaca, Buen Vecino, Playoniando, Corporación Ramiquiri e Iraka, Nación UND,
Narrativas Disruptivas, Huertas de Paz, Sal y Luz, Corporación Picacho con Futuro, Corporación Mi Comuna, Manos Creadoras y el Centro Familiar y Comunitario por la Niñez. Se consolidaron espacios de
concertación con organizaciones para su inclusión en el banco, fortaleciendo el reconocimiento, la innovación social y la construcción colectiva de saberes. Estos avances reflejan un proceso de articulación
robusto que promueve la transparencia, la participación y la incidencia ciudadana en la gestión pública.</t>
  </si>
  <si>
    <t>se consolidaron nueve alianzas estratégicas que fortalecen la participación ciudadana, la investigación y el control social. Estas incluyen la Mesa Territorial de Paz de la Comuna 3,
orientada a la construcción de paz y cohesión comunitaria; la articulación con la Universidad Pontificia Bolivariana (UPB) a través de Lati y la Alianza Siciudadanía, como plataforma de fortalecimiento
democrático. Asimismo, se establecieron vínculos con Comfenalco; con el Labic, como laboratorio de innovación ciudadana; y con la Universidad Nacional de Colombia (Escuela del Hábitat, Facultad de
Arquitectura), que aporta al desarrollo de proyectos académicos y de investigación. También se destaca la participación del Grupo de Estudio de Población, Movimiento y Territorio, adicionalmente se realizó una
alianza con la Universidad Nacional, y la alianza con PALCO, orientada al impulso de procesos de participación y redes sociales. Estas alianzas reflejan un avance significativo en la articulación institucional y
comunitaria.</t>
  </si>
  <si>
    <t xml:space="preserve">encuestas, informes , asistencias , actas de reunión </t>
  </si>
  <si>
    <t>Se avanzó en la consolidación de alianzas, procesos de investigación y encuentros ciudadanos para fortalecer la participación y el control social. Se realizaron reuniones con Siciudadanía y se planearon eventos
en el marco de los Diálogos Territoriales, además de encuentros de Territorios Vibrantes y la primera actualización de Siciudadanía (1/3). También se llevaron a cabo reuniones preparatorias de diálogos
territoriales, un encuentro de la Alianza Siciudadanía, espacios con aliados estratégicos como UNAULA y la convocatoria al registro de buenas prácticas. El grupo de gestión de información y conocimiento
impulsó actualizaciones metodológicas del IPCM. Finalmente, se realizaron diálogos territoriales como el Bazar de la Confianza, se avanzó en la investigación de la política pública de OrSo con hallazgos y
resultados preliminares, y se efectuó la segunda actualización de Siciudadanía (2/3). Estos hitos consolidan la articulación, la transparencia y la participación ciudadana.</t>
  </si>
  <si>
    <t xml:space="preserve">Ciudadanos capacitados  en las diferentes fases de la ruta de planeación del desarrollo local y presupuesto participativo </t>
  </si>
  <si>
    <t xml:space="preserve">listados de asistencia , informes </t>
  </si>
  <si>
    <t xml:space="preserve">Actas de reunión, listados de asistencia , informes </t>
  </si>
  <si>
    <t>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participantes a 30 de junio entorno a la ruta, construccion de estrategia de rendición de cuentas para 2025 y definición de requisitos técnicos
para el desarrollo de la herramienta tecnológica.</t>
  </si>
  <si>
    <t xml:space="preserve">Actas de reunión, listados de asistencia , informes, documentos metodológicos  </t>
  </si>
  <si>
    <t xml:space="preserve">Informes balance , actas de escrutinio, actas de reunión , listados de asistencia registros fotograficos </t>
  </si>
  <si>
    <t>Corresponde al proceso de priorización de la ruta de PDL Y PP realizado en modalidad mixta, virtual y presencial en todas las comunas y corregimientos del distrito.</t>
  </si>
  <si>
    <t>El reporte corresponde a 20 asesorías activas, de las cuales 11 se encuentran finalizadas, 3 en su fase Inicial y 6 en desarrollo</t>
  </si>
  <si>
    <t>Actas, informes, listados de asistencia, oficios, correos electrónicos, registros fotográficos</t>
  </si>
  <si>
    <t>Se conformaron 271 grupos etarios, poblacionales y territoriales para la participación ciudadana, distribuidos de la siguiente manera: 206 de Nada de nervios, 45 del escuelas de participación ciudadana para
niños, niñas, adolescentes y jóvenes, 4 diplomados, 8 de escuelas de participación ciudadana para Adultos y 8 de los consejos estudiantiles comunales.</t>
  </si>
  <si>
    <t xml:space="preserve">Actas, informes, listados de asistencia, registros fotográficos, sistematizaciones </t>
  </si>
  <si>
    <t>El porcentaje de avance corresponde a la estrategia de apropiación externa (territorial) e interna de la PPPC, adicionalmente en la formulación del MISE-PC, el desarrollo de escenarios de articulación, la
evaluación de indicadores y el SDPC con el impulso de los Sistemas Locales de Participación Ciudadana y la elaboración de mapa de actores</t>
  </si>
  <si>
    <t>16.09</t>
  </si>
  <si>
    <t>El avance corresponde a las instancias de participación ciudadana que han recibido asistencia técnica para su fortalecimiento, a nivel distrital y comunal, entre estas se destaca el Consejo Distrital de
Participación Ciudadana.</t>
  </si>
  <si>
    <t>El avance corresponde a la cualificación de 48 mujeres lideresas para la incidencia territorial. Entre los meses de agosto y octubre se llevará a cabo un nuevo proceso formativo de 40 horas para el cumplimiento
total de la meta propuesta</t>
  </si>
  <si>
    <t>Se han fortalecido 61 nuevas ciudadanías entre organizaciones y colectivos, agendas y repertorios</t>
  </si>
  <si>
    <t>El avance incluye la promoción del control social, la gestión transparente y la rendición de cuentas en 31 instancias e iniciativas ciudadanas; el reconocimiento y certificación de 122 organizaciones participantes
en la rendición social de cuentas 2024; y el fortalecimiento de 41 organizaciones a través del Curso de Control Social a la Gestión Pública, en articulación con la RIAV, las veedurías de la Radiografía Participativa
y el curso Siembra de la Transparencia. Asimismo, 157 instituciones educativas se beneficiaron con la formación de Contralores Estudiantiles en rendición de cuentas, mientras que diversas organizaciones
recibieron capacitación en control social y gestión transparente durante los encuentros territoriales de Presupuesto Participativo y el Encuentro por la Transparencia de la Cámara de Comercio de Medellín.
Finalmente, 26 instituciones educativas, universidades, COPACOS, veedurías, JAL, JAC y organizaciones sociales fueron fortalecidas mediante actividades pedagógicas y asesorías realizadas en el marco del
Día Blanco</t>
  </si>
  <si>
    <t xml:space="preserve">Actas; listados de aisencia; registro fotográfico, informes </t>
  </si>
  <si>
    <t xml:space="preserve">El reporte corresponde a la totalidad del presupuesto ajustado y ejecutado del proyecto con corte  septiembre 30 de 2025 </t>
  </si>
  <si>
    <t xml:space="preserve">Este indicador no se medira en esta vigencia </t>
  </si>
  <si>
    <t>El avance corresponde a la realización de espacios de participación alrededor de las diferentes fases de la ruta de PP, como son: Instrumento anual de gestión,
recolección de insumos, difusión de proyectos, acompañamiento de actores, pedagogía pp, promoción y movilización, rendición de cuentas y priorización participativa.</t>
  </si>
  <si>
    <t>Corresponde al cumplimento de la Ruta de PP en cada una de sus momentos (Procesos de articulación y movilización actores externos, Procesos de formación con enfoque de género, Acompañamiento a actores ruta PP, pedagogía, Taller de recolección de insumos, Socializacion ejecucion de proyectos PP, difesión de proyectos,promoción y movilización, Socializacion protocolo de beneficios y beneficiarios PP, realizacion de la jornada de priorizacion y divulgación de resultados.</t>
  </si>
  <si>
    <t>Todas las comunas.</t>
  </si>
  <si>
    <t>Trimestre IV- 2025</t>
  </si>
  <si>
    <t xml:space="preserve">El cumplimiento del 101,7 % en el indicador se explica por el desarrollo efectivo de acciones orientadas a la promoción del control social, la gestión transparente y la rendición pública de cuentas, dirigidas a organizaciones sociales, organizaciones comunales, veedurías ciudadanas, instituciones educativas, instancias e iniciativas ciudadanas.
Durante la vigencia 2025 se promovieron espacios a través de asesorías técnicas, jornadas de formación y retroalimentación, procesos de fortalecimiento organizativo, así como mediante la participación y articulación en eventos y ferias de rendición de cuentas y transparencia, lo que permitió ampliar el número de espacios efectivamente promovidos frente a lo inicialmente programado.
El sobrecumplimiento del indicador se encuentra asociado a una gestión eficiente del recurso, evidenciada en:
•La optimización de capacidades técnicas y logísticas del equipo.
•La integración de varios objetivos misionales en un mismo espacio de participación, sin requerir recursos adicionales.
•La sinergia con otros procesos institucionales y territoriales, que facilitó la apertura de espacios adicionales sin afectar la ejecución presupuestal.
</t>
  </si>
  <si>
    <t xml:space="preserve">Alcanzamos un 50 % de avance en la implementación de las estrategias de promoción de la innovación social, fortaleciendo la oferta programática de los laboratorios ciudadanos mediante la articulación con el ITM, la Universidad de Medellín y diversas dependencias de la Alcaldía de Medellín. Esta articulación permitió ampliar el alcance de las acciones de innovación social y cooperación. Avanzamos en la aplicación de un instrumento para la caracterización de buenas prácticas y  desarrollamos estrategias de cualificación tanto virtuales como presenciales. De igual manera, a través del Contrato Interadministrativo No. 4600105013, suscrito con la Universidad de Antioquia, implementamos el Reto de Ciudad.
Este reporte da cuenta de la realización de laboratorios ciudadanos con diversas organizaciones y colectivos sociales, entre los que se destacan: el Colectivo MUSAS, la JAC La Candelaria, el Colectivo de Mujeres Manos Creadoras, Mujeres con Poder, el Comité de Víctimas C13, el Grupo Mujeres Autónomas, la Mesa de Cuidadoras C8, la Corporación Laboratorio Social Reto 9 y la Corporación Somos Sentir Humano, entre otros.
</t>
  </si>
  <si>
    <t>Avanzamos en un 59,1 % en el fortalecimiento del Sistema de Gestión del Conocimiento para la participación, mediante el desarrollo de Encuentros de Diálogos Territoriales y de la REDINT, orientados a la difusión y apropiación del Índice de Calidad de la Participación; la generación de espacios de gestión del conocimiento en el marco de la alianza SiCiudadanía; la identificación y caracterización de buenas prácticas; la elaboración de un documento investigativo sobre las prácticas de participación de las mujeres en los procesos de planeación participativa; y la construcción de un artículo basado en ejercicios de investigación colaborativa.</t>
  </si>
  <si>
    <t>Promovimos y consolidamos 11 alianzas estratégicas que fortalecieron la gestión de la información y del conocimiento sobre participación ciudadana, así como la promoción de la innovación social, pública y democrática. Estas alianzas se desarrollaron con las siguientes instancias y organizaciones: la Mesa Territorial de Paz de la comuna 3; la Universidad Pontificia Bolivariana (UPB), a través de la coordinación con LATI; la Alianza SiCiudadanía; Comfenalco; LABiC 2025; la Universidad Nacional de Colombia, mediante la Escuela del Hábitat y las facultades de Ciencias Humanas y Económicas; el Grupo de Estudio de Población, Movimiento y Territorio (POMOTE) de la Universidad Autónoma Latinoamericana (UNAULA); la Universidad Nacional de Colombia (Artes); PALCO; la Universidad de Medellín; y el Instituto Tecnológico Metropolitano (ITM).</t>
  </si>
  <si>
    <t>Los resultados consolidados de la quinta medición del Índice de Participación Ciudadana de Medellín (IPCM) para 2025 confirman un escenario de estancamiento estructural que se ha mantenido inalterable durante el último lustro. Al analizar la serie histórica, se observa que el índice global ha entrado en una fase de "meseta": tras el descenso registrado entre 2019 (0,511) y 2021 (0,470), el indicador se ha petrificado, registrando 0,468 en 2023 y 0,468 en 2025. Esta variación infinitesimal de una milésima entre las dos últimas mediciones demuestra técnicamente que la calidad de la participación en el Distrito no ha sufrido deterioros adicionales, pero tampoco ha logrado capitalizar las inversiones institucionales para recuperar los niveles previos a la pandemia".</t>
  </si>
  <si>
    <t>Fortalecimos  y ampliamos  la oferta de l21 Centros de Desarrollo Social como escenarios para potenciar la participación ciudadana y el trabajo conjunto entre el Estado y la Ciudadanía</t>
  </si>
  <si>
    <t xml:space="preserve">Avanzamos el 45,1 % en la implementación del Plan Estratégico de la Política Pública de Organizaciones Sociales, resultado del desarrollo progresivo y articulado de acciones correspondientes a las distintas fases de la política. Durante el periodo evaluado se implementaron un total de 16 acciones estratégicas, entre las cuales se destacan la puesta en marcha del Centro de Innovación y el Banco de Buenas Prácticas, como mecanismos orientados al fortalecimiento de capacidades organizativas, la gestión del conocimiento y la promoción de la innovación social. Estas acciones permitieron dinamizar el indicador, especialmente durante el segundo semestre del año, al consolidar herramientas, metodologías y espacios de articulación que potencian la sostenibilidad, visibilidad y capacidad de incidencia de las organizaciones sociales. </t>
  </si>
  <si>
    <t>Potenciamos 16 Telecentros Comunitarios en las comunas; 1,2, 5, 6, 7, 8, 9, 12, 15 y 50, como espacios físicos de acceso público a las Tecnologías de la Información y las Comunicaciones (TIC), la participación ciudadana y el desarrollo local.</t>
  </si>
  <si>
    <t>Potenciamos las capacidades organizativas y de gestión de 600 organizaciones sociales y organismos comunales del distrito, mediante una estrategia integral y territorializada que combinó procesos de formación, asistencia técnica permanente y fortalecimiento de redes de articulación. Esto implicó la cualificación de liderazgos con enfoque en planeación participativa, gestión administrativa y financiera, control social y uso estratégico de la información, al tiempo que se acompañaron procesos prácticos como la formulación y ejecución de planes de acción, la gestión de proyectos y la rendición social de cuentas. De manera complementaria, promovimos el intercambio de experiencias, fortalecimos la capacidad de interlocución con la institucionalidad y facilitamos el acceso a incentivos, con enfoque diferencial y reconocimiento de las dinámicas territoriales, de modo que las organizaciones consolidaran su autonomía, legitimidad y capacidad de incidencia en la gestión pública local.</t>
  </si>
  <si>
    <t>Asistimos de manera integral a 500 organizaciones y redes sociales del Distrito, a través de procesos de caracterización, capacitación, asesoría y ejercicios de visibilización, orientados al fortalecimiento de sus capacidades de gestión, participación e incidencia comunitaria, contribuyendo así al cumplimiento de las metas institucionales de apoyo y consolidación del tejido social.</t>
  </si>
  <si>
    <t>Avanzamos el 22,5 % en la implementación del plan estratégico de la Política Pública de Libertad de creencias Religiosa y de Cultos en Medellín, mediante el desarrollo progresivo de acciones orientadas a la articulación institucional, el fortalecimiento de capacidades de las organizaciones y comunidades religiosas, y la consolidación de escenarios de participación y diálogo interreligioso. Durante este periodo se priorizaron procesos de caracterización, la activación de espacios de coordinación con actores territoriales y sectoriales, lo que permitió sentar las bases operativas y metodológicas para el despliegue integral de la política en el territorio. Este avance refleja una fase de implementación gradual y planificada, coherente con el enfoque de derechos, pluralismo religioso y construcción de paz que orienta la política pública</t>
  </si>
  <si>
    <t xml:space="preserve">Brindamos apoyo técnico y material a las 21 Juntas Administradoras Locales (JAL) del distrito, consistente en pago de honorarios en desarrollo de las sesiones de ley; telefonía; transporte; útiles y papelería; pago de servicio públicos; apoyo profesional para la capacitación, asesoría y acompañamiento permanente, pólizas de seguros, entre otras, para el buen ejercicio de sus funciones e incidencia territorial. </t>
  </si>
  <si>
    <t>El logro del indicador corresponde a los equipamientos comunitarios en los cuales se adelantaron acciones efectivas de gestión y administración, tales como visitas técnicas a bienes muebles e inmuebles, pago y legalización de servicios públicos, entrega y formalización de contratos de comodato de bienes muebles o inmuebles, así como actividades de mantenimiento preventivo y correctivo.
Durante el periodo reportado se alcanzaron setenta (70) equipamientos con gestión efectiva, superando la meta inicialmente proyectada de sesenta (60). Este sobrecumplimiento obedeció al fortalecimiento de los procesos de administración y seguimiento institucional, al incremento en la demanda de acompañamiento por parte de las organizaciones comunitarias y a la optimización de la capacidad operativa para atender requerimientos relacionados con la legalización, sostenibilidad y funcionamiento de los equipamientos.</t>
  </si>
  <si>
    <t>La baja ejecución durante la vigencia 2025 obedece, principalmente, a ajustes en la estrategia de ejecución definidos por política del Distrito, que implicaron el traslado de una parte significativa de los recursos a la Secretaría de Suministros y Servicios, entidad encargada de adelantar de manera centralizada los procesos de mantenimiento a sedes sociales.
Dicha reasignación presupuestal, aunque formalizada en la vigencia 2025, dio inicio a su ejecución operativa en el mes de diciembre, razón por la cual la materialización física y financiera de las intervenciones se extenderá durante los primeros meses de la vigencia 2026, conforme a los cronogramas contractuales establecidos. Esta situación impactó directamente el nivel de ejecución reportado al cierre del periodo, sin que ello implique desatención de las necesidades identificadas ni cancelación de las actuaciones programadas.</t>
  </si>
  <si>
    <t>Durante la vigencia 2025 se logró la  entrega de dotación a tres (3 )sedes sociales, debido a factores de orden administrativo y jurídico externos al equipo técnico responsable de la estrategia. Si bien se garantizó un acompañamiento técnico riguroso y permanente a los organismos comunales durante toda la etapa precontractual, la ejecución efectiva estuvo condicionada al cumplimiento de trámites habilitantes necesarios para el perfeccionamiento del negocio jurídico. En particular, la suscripción de los contratos de comodato depende de la Secretaría de Suministros y Servicios, en el marco de los procesos de delegación vigentes, y se encuentra sujeta a la normalización de requisitos jurídico-administrativos por parte de algunos organismos comunales, así como a actuaciones institucionales obligatorias, tales como la actualización de la designación de supervisión, la expedición de los certificados de disponibilidad de bienes muebles y la formalización de las minutas contractuales por parte del Despacho. No obstante, estos procesos continúan siendo gestionados y articulados de manera activa, con el fin de viabilizar su formalización en el menor tiempo posible y avanzar progresivamente en el cumplimiento de la meta establecida.</t>
  </si>
  <si>
    <t xml:space="preserve">11, 2,3,5,7,8,12,13,50 y 90. </t>
  </si>
  <si>
    <t>Orientamos a 35 dependencias de la Alcaldía de Medellín en la adopción de lineamientos pedagógicos, metodológicos y didácticos para la promoción de la cultura política y la participación ciudadana, a través del Centro de Orientación Pedagógica (COP). Estos lineamientos constituyen aspectos claves, al asegurar que las acciones de participación ciudadana cuenten con un sustento educativo claro, técnico y coherente, que fortalezca los procesos formativos, la apropiación de lo público y el ejercicio informado de los derechos y deberes ciudadanos.</t>
  </si>
  <si>
    <t>Formamos en participación ciudadana a 2.981 niños, niñas, adolescentes, jóvenes y adultos pertenecientes a 427 grupos etarios, poblacionales y territoriales, mediante tres (3) estrategias formativas: Pedagogía PP (104 personas), Nada de Nervios (2.385 personas) y el Centro de Orientación Pedagógica (COP) (492 personas). Estos procesos posibilitaron el desarrollo de capacidades para la participación, la promoción del juicio crítico, el reconocimiento de sí mismo, del otro y de lo otro, así como la apropiación y defensa de los derechos, los deberes y las responsabilidades, como aspectos clave para la convivencia y el ejercicio de la participación social, comunitaria, ciudadana y política. De esta manera, favorecimos la multiplicidad de formas de participación ciudadana y el fortalecimiento de prácticas democráticas más sólidas y transformadoras.</t>
  </si>
  <si>
    <t>Realizamos seis (6) ejercicios colectivos de acción transformadora en los territorios. Estas acciones surgieron a partir de mediaciones pedagógicas compartidas y de la convergencia en dos o más grupos formativos de sus  Horizontes de Acción, donde se identificaron problemáticas comunes y se promovió la articulación de esfuerzos, saberes y capacidades. Como resultado, los grupos participantes lograron construir agendas conjuntas de incidencia, fortalecer el trabajo colaborativo y activar mecanismos de interlocución con actores comunitarios e institucionales, orientados a la transformación de realidades territoriales específicas. Este proceso evidencia la efectividad de la formación como herramienta para el desarrollo de capacidades de participación, la construcción de ciudadanía activa y la generación de impactos concretos en los territorios, al tiempo que fortalece prácticas democráticas basadas en la corresponsabilidad, el diálogo y la acción colectiva.</t>
  </si>
  <si>
    <t>Logramos la implementación de la Ruta de Planeación del Desarrollo Local y del Presupuesto Participativo correspondiente a la vigencia 2025, desarrollando de manera integral sus cuatro fases y componentes: planeación participativa, priorización participativa, ejecución, seguimiento y evaluación. Se destacan el proceso de articulación y movilización de actores externos; la estrategia de formación con enfoque de género; el acompañamiento permanente a los distintos actores vinculados a la ruta del Presupuesto Participativo; la implementación de una estrategia pedagógica; la socialización y ejecución de los proyectos de Presupuesto Participativo; el diseño y aplicación de los protocolos de beneficios y beneficiarios; así como la refrendación de los acuerdos participativos de la vigencia 2024 que se encontraban pendientes.</t>
  </si>
  <si>
    <t>Alcazamos un avance del sesenta por ciento (60 %) en la implementación de la estrategia de seguimiento de la Planeación del Desarrollo Local y el Presupuesto Participativo (PDLyPP). Este avance se sustentó en la generación y divulgación de información relacionada con la participación ciudadana a lo largo de toda la ruta PDLyPP 2025, así como en la actualización de los protocolos de marcación de la misma y de los criterios de calidad, y su respectiva incorporación en la herramienta ISOLUCIÓN.
Adicionalmente,  fortalecimos la articulación interinstitucional mediante la participación en encuentros con el Departamento Administrativo de Planeación (DAP), orientados a la gestión documental y al seguimiento físico y financiero de los proyectos en ejecución priorizados con recursos del programa de Presupuesto Participativo. Durante la vigencia 2025 garantizamos el acompañamiento permanente a los actores participantes de la ruta, realizamos 21 ejercicos de  rendición de cuentas y pusiomos en marcha una nueva herramienta tecnológica para el seguimiento físico y financiero de los proyectos ejecutados con recursos del programa de Planeación del Desarrollo Local y Presupuesto Participativo.</t>
  </si>
  <si>
    <t>Logramos que 250 organismos de acción comunal recibieran asistencia técnica integral para su fortalecimiento organizativo, mediante procesos de acompañamiento permanente, promoción de la participación y fomento de la gobernabilidad comunitaria.
Asimismo, capacitamos a 1.000 personas, cualificando a líderes y miembros comunales, y acompañamos la formulación y ejecución de los planes de acción, la suscripción de contratos de comodato de bienes muebles e inmuebles y el desarrollo de ejercicios de rendición social de cuentas. De manera complementaria, promovimos los incentivos para la participación comunal, entre los que se destacan el Premio a los Organismos Comunales, la tarjeta Metro para facilitar su desplazamiento y la conmemoración del Día de las Juntas de Acción Comunal (Día JAC).</t>
  </si>
  <si>
    <t>Realizamos 1.018 actuaciones de inspección, vigilancia y control a los organismos comunales El sobrecumplimiento de la meta del indicador, inicialmente proyectada en 800, obedece al  nuevo plazo conferido (12 septiembre 2025)  mediante decreto 1162 de 2024 a los organismos de acción comunal para actualizar e inscribir sus estatutos ante la entidad de inspección, vigilancia y control y al nuevo proceso de suscripción de contrato de comodatos de muebles e inmuebles con las juntas de acción comunal que obliga a estas a dar cumplimiento a la ley inscribierdo y regsitrando algunos documentos y libros en el registro sistematizado de organismos comunales,  demandando una mayor capacidad de respuesta institucional.</t>
  </si>
  <si>
    <t>actos administrativos, informes, oficios radicados</t>
  </si>
  <si>
    <t xml:space="preserve">2. Santa Cruz
3. Manrique
4. Aranjuez
5. Castilla
6. Doce de Octubre
7. Robledo
8. Villa Hermosa
9. Buenos Aires
10. La Candelaría
11. Laureles-Estadio
12. La América
13. San Javier
15. Guayabal
16. Belén
60. San Cristóbal
80. San Antonio de Prado
90. Santa Elena
</t>
  </si>
  <si>
    <t>1, 2, 5, 6, 7, 8, 9, 12, 15, 50 y 70</t>
  </si>
  <si>
    <t>99 - toda la ciudad</t>
  </si>
  <si>
    <t>Acompañamos el fortalecimiento de 77 nuevas ciudadanías del Distrito, correspondientes a 29 colectivos u organizaciones, 12 agendas ciudadanas asociadas a temáticas o causas que promueven la participación ciudadana y la movilización social, y 36 prácticas o nuevos repertorios de acción ciudadana previamente clasificados. Este proceso se desarrolló a través de una ruta metodológica integral que incluyó las etapas de identificación y caracterización, observación participante, aplicación del diagnóstico de capacidades (Necómetro), asistencias técnicas especializadas y espacios de intercambio de experiencias, implementados en dos cohortes durante la vigencia.</t>
  </si>
  <si>
    <t>urante la vigencia se logró la formación, sensibilización y acompañamiento de ciento treinta y cinco (135) mujeres lideresas para la incidencia en escenarios e instancias de participación ciudadana, superando en treinta y cinco (35) mujeres la meta inicialmente proyectada de cien (100). Este incremento obedeció a la alta respuesta y compromiso de las mujeres frente a las convocatorias realizadas, así como a la articulación efectiva de diversas estrategias formativas y de movilización social. En este marco, se sensibilizaron veintitrés (23) mujeres en enfoque de género y veinticinco (25) participaron como beneficiarias en los procesos de socialización y apropiación del protocolo institucional. Adicionalmente, a través del contrato interadministrativo No. 4600105013 suscrito con la Universidad de Antioquia, se formaron setenta y dos (72) mujeres mediante el Colaboratorio para la Participación y la Incidencia Política de las Mujeres Lideresas. De igual manera, en el mes de noviembre se llevó a cabo la conmemoración del 25N, con la participación de quince (15) mujeres, espacio en el cual se socializó y explicó la ruta de atención frente a la violencia sociopolítica.</t>
  </si>
  <si>
    <t>Para el periodo se   realizó el reconocimiento a Buenas Prácticas</t>
  </si>
  <si>
    <t>Brindamos asistencia técnica a veinticinco (25) instancias de participación ciudadana, superando la meta inicialmente proyectada de veintitrés (23). Este resultado obedeció a la ampliación del alcance del acompañamiento institucional y a la alta disposición de las instancias para fortalecer su funcionamiento interno. Como producto del proceso de asistencia, a cada instancia se le entregó un plan de mejoramiento construido de manera conjunta, el cual fue incorporado en sus respectivos planes de trabajo, orientado a superar las debilidades identificadas, optimizar los procesos de gestión y potenciar sus capacidades de incidencia y articulación en el territorio.</t>
  </si>
  <si>
    <t xml:space="preserve">Alcanzamos el 8% de la meta mediante los 21 comites de impulso para la creacion de los SLPC </t>
  </si>
  <si>
    <t>Durante la vigencia se acompaño y fortalecio el Consejo Distrital de Participación Ciudadana</t>
  </si>
  <si>
    <t xml:space="preserve">Logramos  relizar un procesos formativo en articulación con la Universidad de Antioquia , mediante seis (6) sesiones orientadas al desarrollo de los obbjetivos  del consejo Distrital de Participación y fortalecimiento de las competencias  para la  incidencia . 30 personas fueron certificacad. </t>
  </si>
  <si>
    <t>Avanzamos el cuarenta y cinco por ciento (45 %) en la implementación de la política pública y del Sistema de Participación Ciudadana, mediante acciones de apropiación interna con las dependencias corresponsables, la promoción de escenarios permanentes de articulación interinstitucional, el seguimiento y direccionamiento estratégico para la implementación de la Política Pública de Participación Ciudadana (PPPC). Así mismo, se activaron los comités de impulso de los sistemas locales de participación ciudadana en las veintiuna (21) comunas del Distrito y se avanzó de manera continua en la identificación y caracterización del mapa de actores.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</si>
</sst>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0"/>
      <color theme="1"/>
      <name val="Arial"/>
      <family val="2"/>
    </font>
    <font>
      <b/>
      <sz val="10"/>
      <color theme="0"/>
      <name val="Arial"/>
      <family val="2"/>
    </font>
    <font>
      <sz val="10"/>
      <color rgb="FF000000"/>
      <name val="Arial"/>
      <family val="2"/>
    </font>
    <font>
      <sz val="10"/>
      <color theme="0"/>
      <name val="Arial"/>
      <family val="2"/>
    </font>
    <font>
      <sz val="10"/>
      <name val="Arial"/>
      <family val="2"/>
    </font>
    <font>
      <sz val="10"/>
      <color rgb="FFFF0000"/>
      <name val="Arial"/>
      <family val="2"/>
    </font>
    <font>
      <sz val="10"/>
      <color rgb="FF000000"/>
      <name val="Calibri"/>
      <family val="2"/>
      <scheme val="minor"/>
    </font>
    <font>
      <sz val="10"/>
      <color theme="1"/>
      <name val="Calibri"/>
      <family val="2"/>
      <scheme val="minor"/>
    </font>
    <font>
      <b/>
      <sz val="10"/>
      <name val="Arial"/>
      <family val="2"/>
    </font>
    <font>
      <b/>
      <sz val="10"/>
      <color rgb="FFFFFFFF"/>
      <name val="Arial"/>
      <family val="2"/>
    </font>
    <font>
      <b/>
      <sz val="10"/>
      <color rgb="FF000000"/>
      <name val="Arial"/>
      <family val="2"/>
    </font>
    <font>
      <b/>
      <sz val="10"/>
      <color theme="1"/>
      <name val="Arial"/>
      <family val="2"/>
    </font>
    <font>
      <u/>
      <sz val="11"/>
      <color theme="10"/>
      <name val="Calibri"/>
      <family val="2"/>
      <scheme val="minor"/>
    </font>
    <font>
      <sz val="11"/>
      <color theme="1"/>
      <name val="Calibri"/>
      <family val="2"/>
      <scheme val="minor"/>
    </font>
    <font>
      <sz val="10"/>
      <color rgb="FFFF0000"/>
      <name val="Calibri"/>
      <family val="2"/>
      <scheme val="minor"/>
    </font>
    <font>
      <sz val="1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215967"/>
        <bgColor indexed="64"/>
      </patternFill>
    </fill>
    <fill>
      <patternFill patternType="solid">
        <fgColor rgb="FFFFFFFF"/>
        <bgColor rgb="FF000000"/>
      </patternFill>
    </fill>
    <fill>
      <patternFill patternType="solid">
        <fgColor theme="7"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7" tint="0.79998168889431442"/>
        <bgColor indexed="64"/>
      </patternFill>
    </fill>
  </fills>
  <borders count="18">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s>
  <cellStyleXfs count="5">
    <xf numFmtId="0" fontId="0" fillId="0" borderId="0"/>
    <xf numFmtId="0" fontId="5" fillId="0" borderId="0"/>
    <xf numFmtId="0" fontId="7" fillId="0" borderId="0"/>
    <xf numFmtId="0" fontId="13" fillId="0" borderId="0" applyNumberFormat="0" applyFill="0" applyBorder="0" applyAlignment="0" applyProtection="0"/>
    <xf numFmtId="44" fontId="14" fillId="0" borderId="0" applyFont="0" applyFill="0" applyBorder="0" applyAlignment="0" applyProtection="0"/>
  </cellStyleXfs>
  <cellXfs count="132">
    <xf numFmtId="0" fontId="0" fillId="0" borderId="0" xfId="0"/>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vertical="center"/>
    </xf>
    <xf numFmtId="0" fontId="1" fillId="0" borderId="0" xfId="0" applyFont="1" applyAlignment="1">
      <alignment vertical="center" wrapText="1"/>
    </xf>
    <xf numFmtId="0" fontId="2" fillId="2" borderId="0" xfId="0" applyFont="1" applyFill="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0" xfId="0" applyFont="1" applyFill="1" applyAlignment="1" applyProtection="1">
      <alignment vertical="center" wrapText="1"/>
      <protection hidden="1"/>
    </xf>
    <xf numFmtId="0" fontId="2" fillId="3" borderId="8" xfId="0" applyFont="1" applyFill="1" applyBorder="1" applyAlignment="1" applyProtection="1">
      <alignment horizontal="center" vertical="center" wrapText="1"/>
      <protection hidden="1"/>
    </xf>
    <xf numFmtId="0" fontId="3" fillId="2" borderId="2" xfId="0" applyFont="1" applyFill="1" applyBorder="1" applyAlignment="1" applyProtection="1">
      <alignment vertical="center" wrapText="1"/>
      <protection hidden="1"/>
    </xf>
    <xf numFmtId="0" fontId="3" fillId="2" borderId="4" xfId="0" applyFont="1" applyFill="1" applyBorder="1" applyAlignment="1" applyProtection="1">
      <alignment horizontal="center" vertical="center" wrapText="1"/>
      <protection hidden="1"/>
    </xf>
    <xf numFmtId="0" fontId="3" fillId="2" borderId="0" xfId="0" applyFont="1" applyFill="1" applyAlignment="1" applyProtection="1">
      <alignment horizontal="center" vertical="center" wrapText="1"/>
      <protection hidden="1"/>
    </xf>
    <xf numFmtId="0" fontId="4" fillId="2" borderId="0" xfId="0" applyFont="1" applyFill="1" applyAlignment="1" applyProtection="1">
      <alignment vertical="center" wrapText="1"/>
      <protection hidden="1"/>
    </xf>
    <xf numFmtId="0" fontId="4" fillId="2" borderId="0" xfId="0" applyFont="1" applyFill="1" applyAlignment="1" applyProtection="1">
      <alignment horizontal="center" vertical="center" wrapText="1"/>
      <protection hidden="1"/>
    </xf>
    <xf numFmtId="0" fontId="1" fillId="2" borderId="0" xfId="0" applyFont="1" applyFill="1" applyAlignment="1">
      <alignment wrapText="1"/>
    </xf>
    <xf numFmtId="0" fontId="2" fillId="4" borderId="8" xfId="0" applyFont="1" applyFill="1" applyBorder="1" applyAlignment="1" applyProtection="1">
      <alignment horizontal="center" vertical="center" wrapText="1"/>
      <protection hidden="1"/>
    </xf>
    <xf numFmtId="0" fontId="2" fillId="4" borderId="8" xfId="0" applyFont="1" applyFill="1" applyBorder="1" applyAlignment="1">
      <alignment horizontal="center" vertical="center" wrapText="1"/>
    </xf>
    <xf numFmtId="0" fontId="2" fillId="4" borderId="8" xfId="1" applyFont="1" applyFill="1" applyBorder="1" applyAlignment="1">
      <alignment horizontal="center" vertical="center" wrapText="1"/>
    </xf>
    <xf numFmtId="0" fontId="3" fillId="0" borderId="0" xfId="0" applyFont="1" applyAlignment="1">
      <alignment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8" fillId="0" borderId="17" xfId="2" applyFont="1" applyBorder="1" applyAlignment="1">
      <alignment horizontal="center" vertical="center" wrapText="1"/>
    </xf>
    <xf numFmtId="3" fontId="3" fillId="0" borderId="8" xfId="0" applyNumberFormat="1" applyFont="1" applyBorder="1" applyAlignment="1">
      <alignment horizontal="center" vertical="center" wrapText="1"/>
    </xf>
    <xf numFmtId="0" fontId="3" fillId="2" borderId="8" xfId="0" applyFont="1" applyFill="1" applyBorder="1" applyAlignment="1">
      <alignment horizontal="center" vertical="center" wrapText="1"/>
    </xf>
    <xf numFmtId="0" fontId="3" fillId="2" borderId="8" xfId="0" applyFont="1" applyFill="1" applyBorder="1" applyAlignment="1">
      <alignment vertical="center" wrapText="1"/>
    </xf>
    <xf numFmtId="0" fontId="3" fillId="2" borderId="0" xfId="0" applyFont="1" applyFill="1" applyAlignment="1">
      <alignment wrapText="1"/>
    </xf>
    <xf numFmtId="9" fontId="3" fillId="0" borderId="8" xfId="0" applyNumberFormat="1" applyFont="1" applyBorder="1" applyAlignment="1">
      <alignment horizontal="center" vertical="center" wrapText="1"/>
    </xf>
    <xf numFmtId="0" fontId="3" fillId="6" borderId="8" xfId="0" applyFont="1" applyFill="1" applyBorder="1" applyAlignment="1">
      <alignment horizontal="center" vertical="center" wrapText="1"/>
    </xf>
    <xf numFmtId="0" fontId="9" fillId="6" borderId="8" xfId="1"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2" fillId="2" borderId="0" xfId="0" applyFont="1" applyFill="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3" fillId="7" borderId="8" xfId="0" applyFont="1" applyFill="1" applyBorder="1" applyAlignment="1">
      <alignment horizontal="center" vertical="center" wrapText="1"/>
    </xf>
    <xf numFmtId="0" fontId="3" fillId="7" borderId="8" xfId="0" applyFont="1" applyFill="1" applyBorder="1" applyAlignment="1">
      <alignment vertical="center" wrapText="1"/>
    </xf>
    <xf numFmtId="0" fontId="6" fillId="7" borderId="8" xfId="0" applyFont="1" applyFill="1" applyBorder="1" applyAlignment="1">
      <alignment vertical="center" wrapText="1"/>
    </xf>
    <xf numFmtId="0" fontId="3" fillId="7" borderId="16" xfId="0" applyFont="1" applyFill="1" applyBorder="1" applyAlignment="1">
      <alignment horizontal="center" vertical="center" wrapText="1"/>
    </xf>
    <xf numFmtId="0" fontId="6" fillId="7" borderId="8" xfId="0" applyFont="1" applyFill="1" applyBorder="1" applyAlignment="1">
      <alignment horizontal="center" vertical="center" wrapText="1"/>
    </xf>
    <xf numFmtId="14" fontId="6" fillId="7" borderId="8" xfId="0" applyNumberFormat="1" applyFont="1" applyFill="1" applyBorder="1" applyAlignment="1">
      <alignment horizontal="center" vertical="center" wrapText="1"/>
    </xf>
    <xf numFmtId="0" fontId="1" fillId="0" borderId="8" xfId="0" applyFont="1" applyBorder="1" applyAlignment="1">
      <alignment horizontal="center" vertical="center" wrapText="1"/>
    </xf>
    <xf numFmtId="14" fontId="1" fillId="0" borderId="8" xfId="0" applyNumberFormat="1" applyFont="1" applyBorder="1" applyAlignment="1">
      <alignment horizontal="center" vertical="center" wrapText="1"/>
    </xf>
    <xf numFmtId="0" fontId="1" fillId="2" borderId="8" xfId="0" applyFont="1" applyFill="1" applyBorder="1" applyAlignment="1">
      <alignment vertical="center" wrapText="1"/>
    </xf>
    <xf numFmtId="0" fontId="1" fillId="2" borderId="8" xfId="0" applyFont="1" applyFill="1" applyBorder="1" applyAlignment="1">
      <alignment horizontal="center" vertical="center" wrapText="1"/>
    </xf>
    <xf numFmtId="14" fontId="1" fillId="2" borderId="8" xfId="0" applyNumberFormat="1" applyFont="1" applyFill="1" applyBorder="1" applyAlignment="1">
      <alignment horizontal="center" vertical="center" wrapText="1"/>
    </xf>
    <xf numFmtId="0" fontId="11" fillId="2" borderId="8" xfId="0" applyFont="1" applyFill="1" applyBorder="1" applyAlignment="1">
      <alignment vertical="center" wrapText="1"/>
    </xf>
    <xf numFmtId="0" fontId="12" fillId="0" borderId="8" xfId="0" applyFont="1" applyBorder="1" applyAlignment="1">
      <alignment vertical="center" wrapText="1"/>
    </xf>
    <xf numFmtId="0" fontId="12" fillId="2" borderId="8" xfId="0" applyFont="1" applyFill="1" applyBorder="1" applyAlignment="1">
      <alignment vertical="center" wrapText="1"/>
    </xf>
    <xf numFmtId="14" fontId="3" fillId="2" borderId="8" xfId="0" applyNumberFormat="1" applyFont="1" applyFill="1" applyBorder="1" applyAlignment="1">
      <alignment horizontal="center" vertical="center" wrapText="1"/>
    </xf>
    <xf numFmtId="0" fontId="8" fillId="2" borderId="17" xfId="2"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vertical="center" wrapText="1"/>
    </xf>
    <xf numFmtId="0" fontId="13" fillId="0" borderId="8" xfId="3" applyBorder="1" applyAlignment="1">
      <alignment vertical="center" wrapText="1"/>
    </xf>
    <xf numFmtId="0" fontId="5" fillId="2" borderId="8" xfId="0" applyFont="1" applyFill="1" applyBorder="1" applyAlignment="1">
      <alignment horizontal="center" vertical="center" wrapText="1"/>
    </xf>
    <xf numFmtId="14" fontId="5" fillId="2" borderId="8" xfId="0" applyNumberFormat="1" applyFont="1" applyFill="1" applyBorder="1" applyAlignment="1">
      <alignment horizontal="center" vertical="center" wrapText="1"/>
    </xf>
    <xf numFmtId="0" fontId="5" fillId="2" borderId="8" xfId="0" applyFont="1" applyFill="1" applyBorder="1" applyAlignment="1">
      <alignment vertical="center" wrapText="1"/>
    </xf>
    <xf numFmtId="0" fontId="13" fillId="2" borderId="8" xfId="3" applyFill="1" applyBorder="1" applyAlignment="1">
      <alignment vertical="center" wrapText="1"/>
    </xf>
    <xf numFmtId="0" fontId="13" fillId="0" borderId="8" xfId="3" applyFill="1" applyBorder="1" applyAlignment="1">
      <alignment vertical="center" wrapText="1"/>
    </xf>
    <xf numFmtId="0" fontId="12" fillId="2" borderId="8" xfId="0" applyFont="1" applyFill="1" applyBorder="1" applyAlignment="1">
      <alignment horizontal="left" vertical="center" wrapText="1"/>
    </xf>
    <xf numFmtId="0" fontId="3" fillId="2" borderId="8" xfId="0" applyFont="1" applyFill="1" applyBorder="1" applyAlignment="1" applyProtection="1">
      <alignmen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44" fontId="3" fillId="0" borderId="8" xfId="4" applyFont="1" applyBorder="1" applyAlignment="1">
      <alignment vertical="center" wrapText="1"/>
    </xf>
    <xf numFmtId="164" fontId="3" fillId="0" borderId="8" xfId="4" applyNumberFormat="1" applyFont="1" applyBorder="1" applyAlignment="1">
      <alignment vertical="center" wrapText="1"/>
    </xf>
    <xf numFmtId="0" fontId="1" fillId="0" borderId="0" xfId="0" applyFont="1" applyAlignment="1">
      <alignment horizontal="center" vertical="center" wrapText="1"/>
    </xf>
    <xf numFmtId="1" fontId="3" fillId="0" borderId="8" xfId="0" applyNumberFormat="1" applyFont="1" applyBorder="1" applyAlignment="1">
      <alignment horizontal="center" vertical="center" wrapText="1"/>
    </xf>
    <xf numFmtId="0" fontId="1" fillId="0" borderId="8" xfId="0" applyFont="1" applyBorder="1" applyAlignment="1">
      <alignment vertical="center" wrapText="1"/>
    </xf>
    <xf numFmtId="0" fontId="6" fillId="7" borderId="15" xfId="0" applyFont="1" applyFill="1" applyBorder="1" applyAlignment="1">
      <alignment horizontal="center" vertical="center" wrapText="1"/>
    </xf>
    <xf numFmtId="0" fontId="15" fillId="7" borderId="17" xfId="2"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7" borderId="16" xfId="0" applyFont="1" applyFill="1" applyBorder="1" applyAlignment="1">
      <alignment horizontal="center" vertical="center" wrapText="1"/>
    </xf>
    <xf numFmtId="0" fontId="2" fillId="4" borderId="3" xfId="0" applyFont="1" applyFill="1" applyBorder="1" applyAlignment="1" applyProtection="1">
      <alignment horizontal="center" vertical="center" wrapText="1"/>
      <protection hidden="1"/>
    </xf>
    <xf numFmtId="14" fontId="5" fillId="0" borderId="8" xfId="0" applyNumberFormat="1" applyFont="1" applyBorder="1" applyAlignment="1">
      <alignment horizontal="center" vertical="center" wrapText="1"/>
    </xf>
    <xf numFmtId="0" fontId="3" fillId="0" borderId="8" xfId="0" applyFont="1" applyFill="1" applyBorder="1" applyAlignment="1">
      <alignment horizontal="center" vertical="center" wrapText="1"/>
    </xf>
    <xf numFmtId="1" fontId="8" fillId="0" borderId="17" xfId="2" applyNumberFormat="1" applyFont="1" applyBorder="1" applyAlignment="1">
      <alignment horizontal="center" vertical="center" wrapText="1"/>
    </xf>
    <xf numFmtId="1" fontId="16" fillId="0" borderId="17" xfId="2" applyNumberFormat="1" applyFont="1" applyBorder="1" applyAlignment="1">
      <alignment horizontal="center" vertical="center" wrapText="1"/>
    </xf>
    <xf numFmtId="0" fontId="5" fillId="0" borderId="8" xfId="0" applyFont="1" applyFill="1" applyBorder="1" applyAlignment="1">
      <alignment horizontal="center" vertical="center" wrapText="1"/>
    </xf>
    <xf numFmtId="0" fontId="13" fillId="0" borderId="8" xfId="3" applyBorder="1" applyAlignment="1">
      <alignment horizontal="center" vertical="center" wrapText="1"/>
    </xf>
    <xf numFmtId="2" fontId="3" fillId="0" borderId="8" xfId="0" applyNumberFormat="1" applyFont="1" applyBorder="1" applyAlignment="1">
      <alignment horizontal="center" vertical="center" wrapText="1"/>
    </xf>
    <xf numFmtId="2" fontId="3" fillId="2" borderId="8" xfId="0" applyNumberFormat="1" applyFont="1" applyFill="1" applyBorder="1" applyAlignment="1">
      <alignment horizontal="center" vertical="center" wrapText="1"/>
    </xf>
    <xf numFmtId="0" fontId="13" fillId="2" borderId="8" xfId="3" applyFill="1" applyBorder="1" applyAlignment="1">
      <alignment horizontal="center" vertical="center" wrapText="1"/>
    </xf>
    <xf numFmtId="44" fontId="6" fillId="7" borderId="8" xfId="4" applyFont="1" applyFill="1" applyBorder="1" applyAlignment="1">
      <alignment vertical="center" wrapText="1"/>
    </xf>
    <xf numFmtId="0" fontId="3" fillId="9" borderId="8"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10" borderId="8" xfId="0" applyFont="1" applyFill="1" applyBorder="1" applyAlignment="1">
      <alignment vertical="center" wrapText="1"/>
    </xf>
    <xf numFmtId="0" fontId="3" fillId="9" borderId="8" xfId="0" applyFont="1" applyFill="1" applyBorder="1" applyAlignment="1">
      <alignment vertical="center" wrapText="1"/>
    </xf>
    <xf numFmtId="0" fontId="2" fillId="4" borderId="3" xfId="0" applyFont="1" applyFill="1" applyBorder="1" applyAlignment="1" applyProtection="1">
      <alignment horizontal="center" vertical="center" wrapText="1"/>
      <protection hidden="1"/>
    </xf>
    <xf numFmtId="0" fontId="5" fillId="10" borderId="8" xfId="0" applyFont="1" applyFill="1" applyBorder="1" applyAlignment="1">
      <alignment vertical="center" wrapText="1"/>
    </xf>
    <xf numFmtId="0" fontId="13" fillId="10" borderId="8" xfId="3" applyFill="1" applyBorder="1" applyAlignment="1">
      <alignment vertical="center" wrapText="1"/>
    </xf>
    <xf numFmtId="9" fontId="3" fillId="10" borderId="8" xfId="0" applyNumberFormat="1" applyFont="1" applyFill="1" applyBorder="1" applyAlignment="1">
      <alignment horizontal="center" vertical="center" wrapText="1"/>
    </xf>
    <xf numFmtId="0" fontId="3" fillId="9" borderId="8" xfId="0" applyFont="1" applyFill="1" applyBorder="1" applyAlignment="1">
      <alignment horizontal="right" vertical="center" wrapText="1"/>
    </xf>
    <xf numFmtId="0" fontId="1" fillId="0" borderId="14" xfId="0" applyFont="1" applyBorder="1" applyAlignment="1">
      <alignment horizontal="center" wrapText="1"/>
    </xf>
    <xf numFmtId="0" fontId="2" fillId="4" borderId="2" xfId="0" applyFont="1" applyFill="1" applyBorder="1" applyAlignment="1" applyProtection="1">
      <alignment horizontal="center" vertical="center" wrapText="1"/>
      <protection hidden="1"/>
    </xf>
    <xf numFmtId="0" fontId="2" fillId="4" borderId="3" xfId="0" applyFont="1" applyFill="1" applyBorder="1" applyAlignment="1" applyProtection="1">
      <alignment horizontal="center" vertical="center" wrapText="1"/>
      <protection hidden="1"/>
    </xf>
    <xf numFmtId="0" fontId="2" fillId="4" borderId="4" xfId="0" applyFont="1" applyFill="1" applyBorder="1" applyAlignment="1" applyProtection="1">
      <alignment horizontal="center" vertical="center" wrapText="1"/>
      <protection hidden="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4" borderId="3" xfId="1" applyFont="1" applyFill="1" applyBorder="1" applyAlignment="1">
      <alignment horizontal="center" vertical="center" wrapText="1"/>
    </xf>
    <xf numFmtId="0" fontId="2" fillId="4" borderId="4" xfId="1" applyFont="1" applyFill="1" applyBorder="1" applyAlignment="1">
      <alignment horizontal="center" vertical="center" wrapText="1"/>
    </xf>
    <xf numFmtId="0" fontId="12" fillId="8" borderId="2" xfId="0" applyFont="1" applyFill="1" applyBorder="1" applyAlignment="1" applyProtection="1">
      <alignment horizontal="center" vertical="center" wrapText="1"/>
      <protection hidden="1"/>
    </xf>
    <xf numFmtId="0" fontId="12" fillId="8" borderId="3" xfId="0" applyFont="1" applyFill="1" applyBorder="1" applyAlignment="1" applyProtection="1">
      <alignment horizontal="center" vertical="center" wrapText="1"/>
      <protection hidden="1"/>
    </xf>
    <xf numFmtId="0" fontId="12" fillId="8" borderId="4" xfId="0" applyFont="1" applyFill="1" applyBorder="1" applyAlignment="1" applyProtection="1">
      <alignment horizontal="center" vertical="center" wrapText="1"/>
      <protection hidden="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2" borderId="5"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3" borderId="6" xfId="0" applyFont="1" applyFill="1" applyBorder="1" applyAlignment="1" applyProtection="1">
      <alignment horizontal="center" vertical="center" wrapText="1"/>
      <protection hidden="1"/>
    </xf>
    <xf numFmtId="0" fontId="2" fillId="3" borderId="11" xfId="0" applyFont="1" applyFill="1" applyBorder="1" applyAlignment="1" applyProtection="1">
      <alignment horizontal="center" vertical="center" wrapText="1"/>
      <protection hidden="1"/>
    </xf>
    <xf numFmtId="0" fontId="2" fillId="3" borderId="12"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2" fillId="3" borderId="13" xfId="0" applyFont="1" applyFill="1" applyBorder="1" applyAlignment="1" applyProtection="1">
      <alignment horizontal="center" vertical="center" wrapText="1"/>
      <protection hidden="1"/>
    </xf>
    <xf numFmtId="0" fontId="2" fillId="4" borderId="7" xfId="0" applyFont="1" applyFill="1" applyBorder="1" applyAlignment="1" applyProtection="1">
      <alignment horizontal="center" vertical="center" wrapText="1"/>
      <protection hidden="1"/>
    </xf>
    <xf numFmtId="0" fontId="2" fillId="4" borderId="5" xfId="0" applyFont="1" applyFill="1" applyBorder="1" applyAlignment="1" applyProtection="1">
      <alignment horizontal="center" vertical="center" wrapText="1"/>
      <protection hidden="1"/>
    </xf>
    <xf numFmtId="0" fontId="2" fillId="4" borderId="6" xfId="0" applyFont="1" applyFill="1"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2" fillId="4" borderId="1" xfId="0" applyFont="1" applyFill="1" applyBorder="1" applyAlignment="1" applyProtection="1">
      <alignment horizontal="center" vertical="center" wrapText="1"/>
      <protection hidden="1"/>
    </xf>
    <xf numFmtId="0" fontId="2" fillId="4" borderId="12" xfId="0" applyFont="1" applyFill="1" applyBorder="1" applyAlignment="1" applyProtection="1">
      <alignment horizontal="center" vertical="center" wrapText="1"/>
      <protection hidden="1"/>
    </xf>
    <xf numFmtId="0" fontId="2" fillId="4" borderId="7" xfId="1" applyFont="1" applyFill="1" applyBorder="1" applyAlignment="1">
      <alignment horizontal="center" vertical="center" wrapText="1"/>
    </xf>
    <xf numFmtId="0" fontId="2" fillId="4" borderId="5" xfId="1" applyFont="1" applyFill="1" applyBorder="1" applyAlignment="1">
      <alignment horizontal="center" vertical="center" wrapText="1"/>
    </xf>
    <xf numFmtId="0" fontId="2" fillId="4" borderId="6" xfId="1" applyFont="1" applyFill="1" applyBorder="1" applyAlignment="1">
      <alignment horizontal="center" vertical="center" wrapText="1"/>
    </xf>
    <xf numFmtId="0" fontId="2" fillId="4" borderId="11"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4" borderId="12" xfId="1" applyFont="1" applyFill="1" applyBorder="1" applyAlignment="1">
      <alignment horizontal="center" vertical="center" wrapText="1"/>
    </xf>
  </cellXfs>
  <cellStyles count="5">
    <cellStyle name="Hipervínculo" xfId="3" builtinId="8"/>
    <cellStyle name="Moneda" xfId="4" builtinId="4"/>
    <cellStyle name="Normal" xfId="0" builtinId="0"/>
    <cellStyle name="Normal 3" xfId="1" xr:uid="{00000000-0005-0000-0000-000003000000}"/>
    <cellStyle name="Normal 6" xfId="2" xr:uid="{00000000-0005-0000-0000-000004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55</xdr:col>
      <xdr:colOff>266700</xdr:colOff>
      <xdr:row>3</xdr:row>
      <xdr:rowOff>76200</xdr:rowOff>
    </xdr:from>
    <xdr:to>
      <xdr:col>57</xdr:col>
      <xdr:colOff>293914</xdr:colOff>
      <xdr:row>3</xdr:row>
      <xdr:rowOff>1314450</xdr:rowOff>
    </xdr:to>
    <xdr:pic>
      <xdr:nvPicPr>
        <xdr:cNvPr id="2" name="Imagen 1">
          <a:extLst>
            <a:ext uri="{FF2B5EF4-FFF2-40B4-BE49-F238E27FC236}">
              <a16:creationId xmlns:a16="http://schemas.microsoft.com/office/drawing/2014/main" id="{9B0D4CA2-9CDC-4FC4-B23D-A465E73078CC}"/>
            </a:ext>
          </a:extLst>
        </xdr:cNvPr>
        <xdr:cNvPicPr>
          <a:picLocks noChangeAspect="1"/>
        </xdr:cNvPicPr>
      </xdr:nvPicPr>
      <xdr:blipFill>
        <a:blip xmlns:r="http://schemas.openxmlformats.org/officeDocument/2006/relationships" r:embed="rId1"/>
        <a:stretch>
          <a:fillRect/>
        </a:stretch>
      </xdr:blipFill>
      <xdr:spPr>
        <a:xfrm>
          <a:off x="54225825" y="647700"/>
          <a:ext cx="1990725" cy="123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AppData/Cmn-GestPartDlloLcal/PHVA-PL-PP/PHVA%202025%20PL%20Y%20PP/3.%20VERIFICAR/SEG_PLAN_ACCION/240193_PC93DA" TargetMode="External"/><Relationship Id="rId13" Type="http://schemas.openxmlformats.org/officeDocument/2006/relationships/hyperlink" Target="../../../../../../../AppData/Cmn-GestPartDlloLcal/PHVA-PL-PP/PHVA%202025%20PL%20Y%20PP/3.%20VERIFICAR/SEG_PLAN_ACCION/240193_PC93EA" TargetMode="External"/><Relationship Id="rId18" Type="http://schemas.openxmlformats.org/officeDocument/2006/relationships/hyperlink" Target="https://medellingovco-my.sharepoint.com/:f:/g/personal/43617246_medellin_gov_co/EsCfTWJg5lBPnlDum8EPn_oBWrHFpoGgZkfTDmWD-zmcfQ?e=4VmwVH" TargetMode="External"/><Relationship Id="rId3" Type="http://schemas.openxmlformats.org/officeDocument/2006/relationships/hyperlink" Target="https://medellingovco-my.sharepoint.com/:f:/g/personal/43617246_medellin_gov_co/EsCfTWJg5lBPnlDum8EPn_oBWrHFpoGgZkfTDmWD-zmcfQ?e=4VmwVH" TargetMode="External"/><Relationship Id="rId7" Type="http://schemas.openxmlformats.org/officeDocument/2006/relationships/hyperlink" Target="../../../../../../../AppData/Cmn-GestPartDlloLcal/PHVA-PL-PP/PHVA%202025%20PL%20Y%20PP/3.%20VERIFICAR/SEG_PLAN_ACCION/240193_PC93BA" TargetMode="External"/><Relationship Id="rId12" Type="http://schemas.openxmlformats.org/officeDocument/2006/relationships/hyperlink" Target="file:///\\nas1\Alcaldia\210-PCIU\21040-S-PPP\U-GestPart-DlloLcal\Cmn-GestPartDlloLcal\PHVA-PL-PP\PHVA%202025%20PL%20Y%20PP\3.%20VERIFICAR\SEG_PLAN_INDIC\3.2.3.2%20SSE" TargetMode="External"/><Relationship Id="rId17" Type="http://schemas.openxmlformats.org/officeDocument/2006/relationships/hyperlink" Target="https://medellingovco-my.sharepoint.com/:f:/g/personal/43617246_medellin_gov_co/Ev8SmM7S0rFDihqXLu0WvgEBiAscR2IkLfBkrv5grRthiw?e=8nkogs" TargetMode="External"/><Relationship Id="rId2" Type="http://schemas.openxmlformats.org/officeDocument/2006/relationships/hyperlink" Target="https://medellingovco-my.sharepoint.com/:f:/g/personal/43617246_medellin_gov_co/Ej2wTTve419OtSLZnFH-EzIBzwQU-L7jN1VwDPSIwExVgg?e=gIAKtZ" TargetMode="External"/><Relationship Id="rId16" Type="http://schemas.openxmlformats.org/officeDocument/2006/relationships/hyperlink" Target="https://medellingovco-my.sharepoint.com/:f:/g/personal/43617246_medellin_gov_co/EsCfTWJg5lBPnlDum8EPn_oBWrHFpoGgZkfTDmWD-zmcfQ?e=4VmwVH" TargetMode="External"/><Relationship Id="rId20" Type="http://schemas.openxmlformats.org/officeDocument/2006/relationships/drawing" Target="../drawings/drawing1.xml"/><Relationship Id="rId1" Type="http://schemas.openxmlformats.org/officeDocument/2006/relationships/hyperlink" Target="https://medellingovco-my.sharepoint.com/:f:/g/personal/43617246_medellin_gov_co/Ej2wTTve419OtSLZnFH-EzIBzwQU-L7jN1VwDPSIwExVgg?e=gIAKtZ" TargetMode="External"/><Relationship Id="rId6" Type="http://schemas.openxmlformats.org/officeDocument/2006/relationships/hyperlink" Target="https://medellingovco-my.sharepoint.com/:f:/g/personal/43617246_medellin_gov_co/Ev8SmM7S0rFDihqXLu0WvgEBiAscR2IkLfBkrv5grRthiw?e=8nkogs" TargetMode="External"/><Relationship Id="rId11" Type="http://schemas.openxmlformats.org/officeDocument/2006/relationships/hyperlink" Target="file:///\\nas1\Alcaldia\210-PCIU\21040-S-PPP\U-GestPart-DlloLcal\Cmn-GestPartDlloLcal\PHVA-PL-PP\PHVA%202025%20PL%20Y%20PP\3.%20VERIFICAR\SEG_PLAN_INDIC" TargetMode="External"/><Relationship Id="rId5" Type="http://schemas.openxmlformats.org/officeDocument/2006/relationships/hyperlink" Target="https://medellingovco-my.sharepoint.com/:f:/g/personal/43617246_medellin_gov_co/Ev8SmM7S0rFDihqXLu0WvgEBiAscR2IkLfBkrv5grRthiw?e=8nkogs" TargetMode="External"/><Relationship Id="rId15" Type="http://schemas.openxmlformats.org/officeDocument/2006/relationships/hyperlink" Target="https://medellingovco-my.sharepoint.com/:f:/g/personal/43617246_medellin_gov_co/Ej2wTTve419OtSLZnFH-EzIBzwQU-L7jN1VwDPSIwExVgg?e=gIAKtZ" TargetMode="External"/><Relationship Id="rId10" Type="http://schemas.openxmlformats.org/officeDocument/2006/relationships/hyperlink" Target="../../../../../../../AppData/Cmn-GestPartDlloLcal/PHVA-PL-PP/PHVA%202025%20PL%20Y%20PP/3.%20VERIFICAR/SEG_PLAN_INDIC" TargetMode="External"/><Relationship Id="rId19" Type="http://schemas.openxmlformats.org/officeDocument/2006/relationships/printerSettings" Target="../printerSettings/printerSettings1.bin"/><Relationship Id="rId4" Type="http://schemas.openxmlformats.org/officeDocument/2006/relationships/hyperlink" Target="https://medellingovco-my.sharepoint.com/:f:/g/personal/43617246_medellin_gov_co/EsCfTWJg5lBPnlDum8EPn_oBWrHFpoGgZkfTDmWD-zmcfQ?e=4VmwVH" TargetMode="External"/><Relationship Id="rId9" Type="http://schemas.openxmlformats.org/officeDocument/2006/relationships/hyperlink" Target="../../../../../../../AppData/Cmn-GestPartDlloLcal/PHVA-PL-PP/PHVA%202025%20PL%20Y%20PP/3.%20VERIFICAR/SEG_PLAN_ACCION/240193_PC93DA" TargetMode="External"/><Relationship Id="rId14" Type="http://schemas.openxmlformats.org/officeDocument/2006/relationships/hyperlink" Target="../../../../../../../AppData/Cmn-GestPartDlloLcal/PHVA-PL-PP/PHVA%202025%20PL%20Y%20PP/3.%20VERIFICAR/SEG_PLAN_ACCION/240193_PC93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61"/>
  <sheetViews>
    <sheetView tabSelected="1" topLeftCell="G58" zoomScale="60" zoomScaleNormal="60" workbookViewId="0">
      <selection activeCell="AN73" sqref="AN73"/>
    </sheetView>
  </sheetViews>
  <sheetFormatPr baseColWidth="10" defaultColWidth="13" defaultRowHeight="15" customHeight="1" x14ac:dyDescent="0.25"/>
  <cols>
    <col min="1" max="1" width="15.81640625" style="1" customWidth="1"/>
    <col min="2" max="2" width="18.7265625" style="1" customWidth="1"/>
    <col min="3" max="3" width="18.7265625" style="2" customWidth="1"/>
    <col min="4" max="4" width="18.7265625" style="1" customWidth="1"/>
    <col min="5" max="5" width="27.26953125" style="1" customWidth="1"/>
    <col min="6" max="7" width="27.54296875" style="1" customWidth="1"/>
    <col min="8" max="8" width="31" style="1" customWidth="1"/>
    <col min="9" max="9" width="27" style="1" customWidth="1"/>
    <col min="10" max="10" width="20.1796875" style="3" hidden="1" customWidth="1"/>
    <col min="11" max="11" width="20.1796875" style="4" hidden="1" customWidth="1"/>
    <col min="12" max="12" width="24.81640625" style="1" hidden="1" customWidth="1"/>
    <col min="13" max="13" width="24.453125" style="1" hidden="1" customWidth="1"/>
    <col min="14" max="20" width="20.1796875" style="1" hidden="1" customWidth="1"/>
    <col min="21" max="21" width="20.1796875" style="4" hidden="1" customWidth="1"/>
    <col min="22" max="22" width="19" style="1" hidden="1" customWidth="1"/>
    <col min="23" max="23" width="18.54296875" style="2" hidden="1" customWidth="1"/>
    <col min="24" max="24" width="16" style="2" hidden="1" customWidth="1"/>
    <col min="25" max="25" width="20.54296875" style="2" hidden="1" customWidth="1"/>
    <col min="26" max="26" width="17.54296875" style="2" hidden="1" customWidth="1"/>
    <col min="27" max="27" width="16.81640625" style="2" hidden="1" customWidth="1"/>
    <col min="28" max="28" width="31.54296875" style="2" hidden="1" customWidth="1"/>
    <col min="29" max="29" width="21.26953125" style="2" hidden="1" customWidth="1"/>
    <col min="30" max="30" width="22.54296875" style="2" hidden="1" customWidth="1"/>
    <col min="31" max="31" width="22.54296875" style="2" customWidth="1"/>
    <col min="32" max="32" width="26.26953125" style="2" customWidth="1"/>
    <col min="33" max="36" width="22.54296875" style="2" customWidth="1"/>
    <col min="37" max="37" width="18.7265625" style="2" customWidth="1"/>
    <col min="38" max="38" width="14" style="2" customWidth="1"/>
    <col min="39" max="39" width="21.26953125" style="2" customWidth="1"/>
    <col min="40" max="40" width="16.81640625" style="2" customWidth="1"/>
    <col min="41" max="43" width="13" style="2" customWidth="1"/>
    <col min="44" max="44" width="36.7265625" style="2" customWidth="1"/>
    <col min="45" max="47" width="22.453125" style="4" hidden="1" customWidth="1"/>
    <col min="48" max="48" width="22.453125" style="4" customWidth="1"/>
    <col min="49" max="50" width="22.453125" style="4" hidden="1" customWidth="1"/>
    <col min="51" max="51" width="15.26953125" style="2" hidden="1" customWidth="1"/>
    <col min="52" max="52" width="18.26953125" style="65" hidden="1" customWidth="1"/>
    <col min="53" max="53" width="15.26953125" style="65" hidden="1" customWidth="1"/>
    <col min="54" max="54" width="27.1796875" style="1" hidden="1" customWidth="1"/>
    <col min="55" max="55" width="26.26953125" style="1" hidden="1" customWidth="1"/>
    <col min="56" max="56" width="18.81640625" style="1" hidden="1" customWidth="1"/>
    <col min="57" max="57" width="25.453125" style="1" customWidth="1"/>
    <col min="58" max="89" width="13" style="1" customWidth="1"/>
    <col min="90" max="16384" width="13" style="1"/>
  </cols>
  <sheetData>
    <row r="1" spans="1:58" ht="15" customHeight="1" x14ac:dyDescent="0.25">
      <c r="X1" s="5"/>
      <c r="Y1" s="33"/>
      <c r="Z1" s="33"/>
      <c r="AA1" s="33"/>
      <c r="AB1" s="33"/>
      <c r="AC1" s="33"/>
    </row>
    <row r="2" spans="1:58" ht="15" customHeight="1" x14ac:dyDescent="0.25">
      <c r="X2" s="5"/>
      <c r="Y2" s="33"/>
      <c r="Z2" s="33"/>
      <c r="AA2" s="33"/>
      <c r="AB2" s="33"/>
      <c r="AC2" s="33"/>
    </row>
    <row r="3" spans="1:58" ht="15" customHeight="1" x14ac:dyDescent="0.25">
      <c r="X3" s="6"/>
      <c r="Y3" s="34"/>
      <c r="Z3" s="34"/>
      <c r="AA3" s="34"/>
      <c r="AB3" s="34"/>
      <c r="AC3" s="34"/>
    </row>
    <row r="4" spans="1:58" ht="109.5" customHeight="1" x14ac:dyDescent="0.25">
      <c r="A4" s="105" t="s">
        <v>0</v>
      </c>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7"/>
    </row>
    <row r="5" spans="1:58" ht="13" customHeight="1" x14ac:dyDescent="0.25">
      <c r="A5" s="7"/>
      <c r="B5" s="7"/>
      <c r="C5" s="5"/>
      <c r="D5" s="7"/>
      <c r="E5" s="7"/>
      <c r="F5" s="7"/>
      <c r="G5" s="7"/>
      <c r="H5" s="108" t="s">
        <v>1</v>
      </c>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9"/>
    </row>
    <row r="6" spans="1:58" ht="12.75" customHeight="1" x14ac:dyDescent="0.25">
      <c r="A6" s="114" t="s">
        <v>334</v>
      </c>
      <c r="B6" s="115"/>
      <c r="C6" s="8" t="s">
        <v>2</v>
      </c>
      <c r="D6" s="9" t="s">
        <v>3</v>
      </c>
      <c r="E6" s="118" t="s">
        <v>4</v>
      </c>
      <c r="F6" s="10">
        <v>2024</v>
      </c>
      <c r="G6" s="11"/>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1"/>
    </row>
    <row r="7" spans="1:58" ht="13" x14ac:dyDescent="0.25">
      <c r="A7" s="116"/>
      <c r="B7" s="117"/>
      <c r="C7" s="8" t="s">
        <v>5</v>
      </c>
      <c r="D7" s="9" t="s">
        <v>6</v>
      </c>
      <c r="E7" s="119"/>
      <c r="F7" s="10">
        <v>2024</v>
      </c>
      <c r="G7" s="11"/>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1"/>
    </row>
    <row r="8" spans="1:58" s="14" customFormat="1" ht="12.5" x14ac:dyDescent="0.25">
      <c r="A8" s="12"/>
      <c r="B8" s="12"/>
      <c r="C8" s="13"/>
      <c r="D8" s="12"/>
      <c r="E8" s="12"/>
      <c r="F8" s="12"/>
      <c r="G8" s="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3"/>
    </row>
    <row r="9" spans="1:58" ht="12.75" customHeight="1" x14ac:dyDescent="0.25">
      <c r="A9" s="120" t="s">
        <v>7</v>
      </c>
      <c r="B9" s="121"/>
      <c r="C9" s="122"/>
      <c r="D9" s="120" t="s">
        <v>8</v>
      </c>
      <c r="E9" s="121"/>
      <c r="F9" s="121"/>
      <c r="G9" s="121"/>
      <c r="H9" s="121"/>
      <c r="I9" s="121"/>
      <c r="J9" s="122"/>
      <c r="K9" s="126" t="s">
        <v>9</v>
      </c>
      <c r="L9" s="127"/>
      <c r="M9" s="127"/>
      <c r="N9" s="127"/>
      <c r="O9" s="127"/>
      <c r="P9" s="127"/>
      <c r="Q9" s="128"/>
      <c r="R9" s="126" t="s">
        <v>10</v>
      </c>
      <c r="S9" s="127"/>
      <c r="T9" s="127"/>
      <c r="U9" s="127"/>
      <c r="V9" s="127"/>
      <c r="W9" s="127"/>
      <c r="X9" s="128"/>
      <c r="Y9" s="93" t="s">
        <v>11</v>
      </c>
      <c r="Z9" s="94"/>
      <c r="AA9" s="94"/>
      <c r="AB9" s="94"/>
      <c r="AC9" s="94"/>
      <c r="AD9" s="95"/>
      <c r="AE9" s="72"/>
      <c r="AF9" s="72"/>
      <c r="AG9" s="72"/>
      <c r="AH9" s="87"/>
      <c r="AI9" s="87"/>
      <c r="AJ9" s="87"/>
      <c r="AK9" s="93" t="s">
        <v>12</v>
      </c>
      <c r="AL9" s="94"/>
      <c r="AM9" s="94"/>
      <c r="AN9" s="94"/>
      <c r="AO9" s="94"/>
      <c r="AP9" s="94"/>
      <c r="AQ9" s="94"/>
      <c r="AR9" s="95"/>
      <c r="AS9" s="93" t="s">
        <v>13</v>
      </c>
      <c r="AT9" s="94"/>
      <c r="AU9" s="94"/>
      <c r="AV9" s="94"/>
      <c r="AW9" s="94"/>
      <c r="AX9" s="95"/>
      <c r="AY9" s="93" t="s">
        <v>14</v>
      </c>
      <c r="AZ9" s="94"/>
      <c r="BA9" s="94"/>
      <c r="BB9" s="94"/>
      <c r="BC9" s="94"/>
      <c r="BD9" s="95"/>
      <c r="BE9" s="15" t="s">
        <v>15</v>
      </c>
      <c r="BF9" s="92"/>
    </row>
    <row r="10" spans="1:58" ht="15" customHeight="1" x14ac:dyDescent="0.25">
      <c r="A10" s="123"/>
      <c r="B10" s="124"/>
      <c r="C10" s="125"/>
      <c r="D10" s="123"/>
      <c r="E10" s="124"/>
      <c r="F10" s="124"/>
      <c r="G10" s="124"/>
      <c r="H10" s="124"/>
      <c r="I10" s="124"/>
      <c r="J10" s="125"/>
      <c r="K10" s="129"/>
      <c r="L10" s="130"/>
      <c r="M10" s="130"/>
      <c r="N10" s="130"/>
      <c r="O10" s="130"/>
      <c r="P10" s="130"/>
      <c r="Q10" s="131"/>
      <c r="R10" s="129"/>
      <c r="S10" s="130"/>
      <c r="T10" s="130"/>
      <c r="U10" s="130"/>
      <c r="V10" s="130"/>
      <c r="W10" s="130"/>
      <c r="X10" s="131"/>
      <c r="Y10" s="93" t="s">
        <v>16</v>
      </c>
      <c r="Z10" s="94"/>
      <c r="AA10" s="95"/>
      <c r="AB10" s="93" t="s">
        <v>17</v>
      </c>
      <c r="AC10" s="94"/>
      <c r="AD10" s="95"/>
      <c r="AE10" s="93" t="s">
        <v>444</v>
      </c>
      <c r="AF10" s="94"/>
      <c r="AG10" s="95"/>
      <c r="AH10" s="102" t="s">
        <v>482</v>
      </c>
      <c r="AI10" s="103"/>
      <c r="AJ10" s="104"/>
      <c r="AK10" s="96" t="s">
        <v>18</v>
      </c>
      <c r="AL10" s="97"/>
      <c r="AM10" s="97"/>
      <c r="AN10" s="97"/>
      <c r="AO10" s="97"/>
      <c r="AP10" s="97"/>
      <c r="AQ10" s="98"/>
      <c r="AR10" s="16" t="s">
        <v>19</v>
      </c>
      <c r="AS10" s="99" t="s">
        <v>20</v>
      </c>
      <c r="AT10" s="100"/>
      <c r="AU10" s="100"/>
      <c r="AV10" s="100"/>
      <c r="AW10" s="100"/>
      <c r="AX10" s="101"/>
      <c r="AY10" s="96" t="s">
        <v>21</v>
      </c>
      <c r="AZ10" s="97"/>
      <c r="BA10" s="97"/>
      <c r="BB10" s="97"/>
      <c r="BC10" s="97"/>
      <c r="BD10" s="98"/>
      <c r="BE10" s="15" t="s">
        <v>22</v>
      </c>
      <c r="BF10" s="92"/>
    </row>
    <row r="11" spans="1:58" s="18" customFormat="1" ht="69" customHeight="1" x14ac:dyDescent="0.25">
      <c r="A11" s="15" t="s">
        <v>23</v>
      </c>
      <c r="B11" s="15" t="s">
        <v>24</v>
      </c>
      <c r="C11" s="15" t="s">
        <v>25</v>
      </c>
      <c r="D11" s="15" t="s">
        <v>26</v>
      </c>
      <c r="E11" s="15" t="s">
        <v>27</v>
      </c>
      <c r="F11" s="15" t="s">
        <v>28</v>
      </c>
      <c r="G11" s="15" t="s">
        <v>29</v>
      </c>
      <c r="H11" s="15" t="s">
        <v>30</v>
      </c>
      <c r="I11" s="15" t="s">
        <v>31</v>
      </c>
      <c r="J11" s="15" t="s">
        <v>32</v>
      </c>
      <c r="K11" s="15" t="s">
        <v>33</v>
      </c>
      <c r="L11" s="15" t="s">
        <v>34</v>
      </c>
      <c r="M11" s="15" t="s">
        <v>35</v>
      </c>
      <c r="N11" s="15" t="s">
        <v>36</v>
      </c>
      <c r="O11" s="15" t="s">
        <v>37</v>
      </c>
      <c r="P11" s="15" t="s">
        <v>38</v>
      </c>
      <c r="Q11" s="15" t="s">
        <v>39</v>
      </c>
      <c r="R11" s="15" t="s">
        <v>40</v>
      </c>
      <c r="S11" s="15" t="s">
        <v>41</v>
      </c>
      <c r="T11" s="15" t="s">
        <v>42</v>
      </c>
      <c r="U11" s="15" t="s">
        <v>43</v>
      </c>
      <c r="V11" s="15" t="s">
        <v>44</v>
      </c>
      <c r="W11" s="15" t="s">
        <v>45</v>
      </c>
      <c r="X11" s="15" t="s">
        <v>46</v>
      </c>
      <c r="Y11" s="15" t="s">
        <v>47</v>
      </c>
      <c r="Z11" s="15" t="s">
        <v>48</v>
      </c>
      <c r="AA11" s="15" t="s">
        <v>49</v>
      </c>
      <c r="AB11" s="15" t="s">
        <v>47</v>
      </c>
      <c r="AC11" s="15" t="s">
        <v>48</v>
      </c>
      <c r="AD11" s="15" t="s">
        <v>49</v>
      </c>
      <c r="AE11" s="15" t="s">
        <v>47</v>
      </c>
      <c r="AF11" s="15" t="s">
        <v>48</v>
      </c>
      <c r="AG11" s="15" t="s">
        <v>49</v>
      </c>
      <c r="AH11" s="15"/>
      <c r="AI11" s="15"/>
      <c r="AJ11" s="15" t="s">
        <v>49</v>
      </c>
      <c r="AK11" s="17" t="s">
        <v>50</v>
      </c>
      <c r="AL11" s="17" t="s">
        <v>51</v>
      </c>
      <c r="AM11" s="17" t="s">
        <v>52</v>
      </c>
      <c r="AN11" s="17" t="s">
        <v>53</v>
      </c>
      <c r="AO11" s="17" t="s">
        <v>54</v>
      </c>
      <c r="AP11" s="17" t="s">
        <v>55</v>
      </c>
      <c r="AQ11" s="17" t="s">
        <v>56</v>
      </c>
      <c r="AR11" s="17" t="s">
        <v>57</v>
      </c>
      <c r="AS11" s="17" t="s">
        <v>58</v>
      </c>
      <c r="AT11" s="17" t="s">
        <v>59</v>
      </c>
      <c r="AU11" s="17" t="s">
        <v>60</v>
      </c>
      <c r="AV11" s="28" t="s">
        <v>292</v>
      </c>
      <c r="AW11" s="17" t="s">
        <v>61</v>
      </c>
      <c r="AX11" s="17" t="s">
        <v>62</v>
      </c>
      <c r="AY11" s="17" t="s">
        <v>63</v>
      </c>
      <c r="AZ11" s="17" t="s">
        <v>64</v>
      </c>
      <c r="BA11" s="17" t="s">
        <v>65</v>
      </c>
      <c r="BB11" s="17" t="s">
        <v>66</v>
      </c>
      <c r="BC11" s="17" t="s">
        <v>445</v>
      </c>
      <c r="BD11" s="17" t="s">
        <v>67</v>
      </c>
      <c r="BE11" s="17" t="s">
        <v>68</v>
      </c>
    </row>
    <row r="12" spans="1:58" s="18" customFormat="1" ht="165.75" customHeight="1" x14ac:dyDescent="0.25">
      <c r="A12" s="19" t="s">
        <v>69</v>
      </c>
      <c r="B12" s="20" t="s">
        <v>70</v>
      </c>
      <c r="C12" s="19" t="s">
        <v>71</v>
      </c>
      <c r="D12" s="19">
        <v>473</v>
      </c>
      <c r="E12" s="19" t="s">
        <v>72</v>
      </c>
      <c r="F12" s="19" t="s">
        <v>73</v>
      </c>
      <c r="G12" s="19" t="s">
        <v>74</v>
      </c>
      <c r="H12" s="20" t="s">
        <v>75</v>
      </c>
      <c r="I12" s="48" t="s">
        <v>76</v>
      </c>
      <c r="J12" s="20" t="s">
        <v>77</v>
      </c>
      <c r="K12" s="19" t="s">
        <v>78</v>
      </c>
      <c r="L12" s="19" t="s">
        <v>79</v>
      </c>
      <c r="M12" s="19" t="s">
        <v>80</v>
      </c>
      <c r="N12" s="29" t="s">
        <v>81</v>
      </c>
      <c r="O12" s="19" t="s">
        <v>82</v>
      </c>
      <c r="P12" s="41" t="s">
        <v>83</v>
      </c>
      <c r="Q12" s="42">
        <v>45838</v>
      </c>
      <c r="R12" s="19">
        <v>59</v>
      </c>
      <c r="S12" s="19">
        <v>2023</v>
      </c>
      <c r="T12" s="19" t="s">
        <v>84</v>
      </c>
      <c r="U12" s="19">
        <v>20</v>
      </c>
      <c r="V12" s="19">
        <v>2025</v>
      </c>
      <c r="W12" s="19" t="s">
        <v>85</v>
      </c>
      <c r="X12" s="19" t="s">
        <v>86</v>
      </c>
      <c r="Y12" s="23">
        <v>0</v>
      </c>
      <c r="Z12" s="23" t="s">
        <v>385</v>
      </c>
      <c r="AA12" s="23" t="s">
        <v>340</v>
      </c>
      <c r="AB12" s="23">
        <v>7</v>
      </c>
      <c r="AC12" s="23" t="s">
        <v>386</v>
      </c>
      <c r="AD12" s="23" t="s">
        <v>384</v>
      </c>
      <c r="AE12" s="23">
        <v>20</v>
      </c>
      <c r="AF12" s="23" t="s">
        <v>446</v>
      </c>
      <c r="AG12" s="23" t="s">
        <v>384</v>
      </c>
      <c r="AH12" s="84">
        <v>16</v>
      </c>
      <c r="AI12" s="84" t="s">
        <v>490</v>
      </c>
      <c r="AJ12" s="84" t="s">
        <v>384</v>
      </c>
      <c r="AK12" s="91" t="s">
        <v>351</v>
      </c>
      <c r="AL12" s="91">
        <v>73</v>
      </c>
      <c r="AM12" s="91" t="s">
        <v>352</v>
      </c>
      <c r="AN12" s="91">
        <v>60</v>
      </c>
      <c r="AO12" s="91">
        <v>139</v>
      </c>
      <c r="AP12" s="91">
        <v>2</v>
      </c>
      <c r="AQ12" s="91">
        <v>17</v>
      </c>
      <c r="AR12" s="91" t="s">
        <v>508</v>
      </c>
      <c r="AS12" s="19">
        <v>712</v>
      </c>
      <c r="AT12" s="19" t="s">
        <v>87</v>
      </c>
      <c r="AU12" s="19" t="s">
        <v>88</v>
      </c>
      <c r="AV12" s="27" t="s">
        <v>293</v>
      </c>
      <c r="AW12" s="19">
        <v>712</v>
      </c>
      <c r="AX12" s="19" t="s">
        <v>87</v>
      </c>
      <c r="AY12" s="19">
        <v>240182</v>
      </c>
      <c r="AZ12" s="20" t="s">
        <v>89</v>
      </c>
      <c r="BA12" s="19">
        <v>500</v>
      </c>
      <c r="BB12" s="63">
        <v>2019173659</v>
      </c>
      <c r="BC12" s="63">
        <v>2010374323</v>
      </c>
      <c r="BD12" s="20" t="s">
        <v>477</v>
      </c>
      <c r="BE12" s="20"/>
    </row>
    <row r="13" spans="1:58" s="18" customFormat="1" ht="165.75" customHeight="1" x14ac:dyDescent="0.25">
      <c r="A13" s="19" t="s">
        <v>69</v>
      </c>
      <c r="B13" s="20" t="s">
        <v>70</v>
      </c>
      <c r="C13" s="19" t="s">
        <v>71</v>
      </c>
      <c r="D13" s="19">
        <v>474</v>
      </c>
      <c r="E13" s="19" t="s">
        <v>72</v>
      </c>
      <c r="F13" s="19" t="s">
        <v>90</v>
      </c>
      <c r="G13" s="19" t="s">
        <v>74</v>
      </c>
      <c r="H13" s="20" t="s">
        <v>91</v>
      </c>
      <c r="I13" s="46" t="s">
        <v>92</v>
      </c>
      <c r="J13" s="20" t="s">
        <v>77</v>
      </c>
      <c r="K13" s="19" t="s">
        <v>78</v>
      </c>
      <c r="L13" s="19" t="s">
        <v>79</v>
      </c>
      <c r="M13" s="19" t="s">
        <v>93</v>
      </c>
      <c r="N13" s="29" t="s">
        <v>81</v>
      </c>
      <c r="O13" s="19" t="s">
        <v>82</v>
      </c>
      <c r="P13" s="41" t="s">
        <v>83</v>
      </c>
      <c r="Q13" s="42">
        <v>45838</v>
      </c>
      <c r="R13" s="19">
        <v>21</v>
      </c>
      <c r="S13" s="19">
        <v>2023</v>
      </c>
      <c r="T13" s="19" t="s">
        <v>84</v>
      </c>
      <c r="U13" s="19">
        <v>21</v>
      </c>
      <c r="V13" s="19">
        <v>2025</v>
      </c>
      <c r="W13" s="19" t="s">
        <v>85</v>
      </c>
      <c r="X13" s="19" t="s">
        <v>86</v>
      </c>
      <c r="Y13" s="23">
        <v>0</v>
      </c>
      <c r="Z13" s="23" t="s">
        <v>387</v>
      </c>
      <c r="AA13" s="23" t="s">
        <v>340</v>
      </c>
      <c r="AB13" s="23">
        <v>21</v>
      </c>
      <c r="AC13" s="23" t="s">
        <v>388</v>
      </c>
      <c r="AD13" s="23" t="s">
        <v>384</v>
      </c>
      <c r="AE13" s="23">
        <v>21</v>
      </c>
      <c r="AF13" s="23" t="s">
        <v>388</v>
      </c>
      <c r="AG13" s="23" t="s">
        <v>384</v>
      </c>
      <c r="AH13" s="84">
        <v>21</v>
      </c>
      <c r="AI13" s="84" t="s">
        <v>488</v>
      </c>
      <c r="AJ13" s="84" t="s">
        <v>384</v>
      </c>
      <c r="AK13" s="91" t="s">
        <v>351</v>
      </c>
      <c r="AL13" s="91">
        <v>248</v>
      </c>
      <c r="AM13" s="91" t="s">
        <v>352</v>
      </c>
      <c r="AN13" s="91">
        <v>1623</v>
      </c>
      <c r="AO13" s="91">
        <v>609</v>
      </c>
      <c r="AP13" s="91">
        <v>39</v>
      </c>
      <c r="AQ13" s="91">
        <v>232</v>
      </c>
      <c r="AR13" s="91" t="s">
        <v>389</v>
      </c>
      <c r="AS13" s="19">
        <v>712</v>
      </c>
      <c r="AT13" s="19" t="s">
        <v>87</v>
      </c>
      <c r="AU13" s="19" t="s">
        <v>88</v>
      </c>
      <c r="AV13" s="27" t="s">
        <v>293</v>
      </c>
      <c r="AW13" s="19">
        <v>712</v>
      </c>
      <c r="AX13" s="19" t="s">
        <v>87</v>
      </c>
      <c r="AY13" s="19">
        <v>240182</v>
      </c>
      <c r="AZ13" s="20" t="s">
        <v>89</v>
      </c>
      <c r="BA13" s="19">
        <v>500</v>
      </c>
      <c r="BB13" s="63">
        <v>2019173659</v>
      </c>
      <c r="BC13" s="63">
        <v>2010374323</v>
      </c>
      <c r="BD13" s="20" t="s">
        <v>477</v>
      </c>
      <c r="BE13" s="20"/>
    </row>
    <row r="14" spans="1:58" s="18" customFormat="1" ht="178.5" customHeight="1" x14ac:dyDescent="0.25">
      <c r="A14" s="19" t="s">
        <v>69</v>
      </c>
      <c r="B14" s="20" t="s">
        <v>70</v>
      </c>
      <c r="C14" s="19" t="s">
        <v>71</v>
      </c>
      <c r="D14" s="19">
        <v>475</v>
      </c>
      <c r="E14" s="19" t="s">
        <v>72</v>
      </c>
      <c r="F14" s="19" t="s">
        <v>90</v>
      </c>
      <c r="G14" s="19" t="s">
        <v>74</v>
      </c>
      <c r="H14" s="20" t="s">
        <v>94</v>
      </c>
      <c r="I14" s="46" t="s">
        <v>95</v>
      </c>
      <c r="J14" s="20" t="s">
        <v>96</v>
      </c>
      <c r="K14" s="19" t="s">
        <v>78</v>
      </c>
      <c r="L14" s="30" t="s">
        <v>97</v>
      </c>
      <c r="M14" s="29" t="s">
        <v>98</v>
      </c>
      <c r="N14" s="29" t="s">
        <v>99</v>
      </c>
      <c r="O14" s="19" t="s">
        <v>82</v>
      </c>
      <c r="P14" s="41" t="s">
        <v>83</v>
      </c>
      <c r="Q14" s="42">
        <v>45838</v>
      </c>
      <c r="R14" s="19">
        <v>30</v>
      </c>
      <c r="S14" s="19">
        <v>2023</v>
      </c>
      <c r="T14" s="19" t="s">
        <v>100</v>
      </c>
      <c r="U14" s="19">
        <v>45</v>
      </c>
      <c r="V14" s="19">
        <v>2025</v>
      </c>
      <c r="W14" s="19" t="s">
        <v>101</v>
      </c>
      <c r="X14" s="19" t="s">
        <v>86</v>
      </c>
      <c r="Y14" s="23">
        <v>41.2</v>
      </c>
      <c r="Z14" s="23" t="s">
        <v>392</v>
      </c>
      <c r="AA14" s="23" t="s">
        <v>390</v>
      </c>
      <c r="AB14" s="23">
        <v>41.2</v>
      </c>
      <c r="AC14" s="23" t="s">
        <v>449</v>
      </c>
      <c r="AD14" s="23" t="s">
        <v>391</v>
      </c>
      <c r="AE14" s="23">
        <v>43.74</v>
      </c>
      <c r="AF14" s="23" t="s">
        <v>447</v>
      </c>
      <c r="AG14" s="23" t="s">
        <v>391</v>
      </c>
      <c r="AH14" s="84">
        <v>45.1</v>
      </c>
      <c r="AI14" s="84" t="s">
        <v>489</v>
      </c>
      <c r="AJ14" s="84" t="s">
        <v>391</v>
      </c>
      <c r="AK14" s="83" t="s">
        <v>351</v>
      </c>
      <c r="AL14" s="83" t="s">
        <v>340</v>
      </c>
      <c r="AM14" s="83" t="s">
        <v>352</v>
      </c>
      <c r="AN14" s="83" t="s">
        <v>340</v>
      </c>
      <c r="AO14" s="83" t="s">
        <v>340</v>
      </c>
      <c r="AP14" s="83" t="s">
        <v>340</v>
      </c>
      <c r="AQ14" s="83" t="s">
        <v>340</v>
      </c>
      <c r="AR14" s="83" t="s">
        <v>340</v>
      </c>
      <c r="AS14" s="19">
        <v>712</v>
      </c>
      <c r="AT14" s="19" t="s">
        <v>87</v>
      </c>
      <c r="AU14" s="19" t="s">
        <v>88</v>
      </c>
      <c r="AV14" s="27" t="s">
        <v>293</v>
      </c>
      <c r="AW14" s="19">
        <v>712</v>
      </c>
      <c r="AX14" s="19" t="s">
        <v>87</v>
      </c>
      <c r="AY14" s="19">
        <v>240182</v>
      </c>
      <c r="AZ14" s="20" t="s">
        <v>89</v>
      </c>
      <c r="BA14" s="19">
        <v>500</v>
      </c>
      <c r="BB14" s="63">
        <v>2019173659</v>
      </c>
      <c r="BC14" s="63">
        <v>2010374323</v>
      </c>
      <c r="BD14" s="20" t="s">
        <v>477</v>
      </c>
      <c r="BE14" s="20"/>
    </row>
    <row r="15" spans="1:58" s="18" customFormat="1" ht="165.75" customHeight="1" x14ac:dyDescent="0.25">
      <c r="A15" s="39" t="s">
        <v>69</v>
      </c>
      <c r="B15" s="37" t="s">
        <v>70</v>
      </c>
      <c r="C15" s="39" t="s">
        <v>71</v>
      </c>
      <c r="D15" s="39">
        <v>476</v>
      </c>
      <c r="E15" s="39" t="s">
        <v>72</v>
      </c>
      <c r="F15" s="39" t="s">
        <v>102</v>
      </c>
      <c r="G15" s="39" t="s">
        <v>103</v>
      </c>
      <c r="H15" s="37" t="s">
        <v>104</v>
      </c>
      <c r="I15" s="37" t="s">
        <v>105</v>
      </c>
      <c r="J15" s="37" t="s">
        <v>96</v>
      </c>
      <c r="K15" s="39" t="s">
        <v>78</v>
      </c>
      <c r="L15" s="39" t="s">
        <v>79</v>
      </c>
      <c r="M15" s="39" t="s">
        <v>320</v>
      </c>
      <c r="N15" s="68" t="s">
        <v>81</v>
      </c>
      <c r="O15" s="39" t="s">
        <v>106</v>
      </c>
      <c r="P15" s="39" t="s">
        <v>83</v>
      </c>
      <c r="Q15" s="40">
        <v>45838</v>
      </c>
      <c r="R15" s="37"/>
      <c r="S15" s="37"/>
      <c r="T15" s="37"/>
      <c r="U15" s="39">
        <v>0.65</v>
      </c>
      <c r="V15" s="39">
        <v>2025</v>
      </c>
      <c r="W15" s="39" t="s">
        <v>101</v>
      </c>
      <c r="X15" s="39" t="s">
        <v>86</v>
      </c>
      <c r="Y15" s="39"/>
      <c r="Z15" s="39"/>
      <c r="AA15" s="39"/>
      <c r="AB15" s="39"/>
      <c r="AC15" s="39"/>
      <c r="AD15" s="39"/>
      <c r="AE15" s="39"/>
      <c r="AF15" s="39"/>
      <c r="AG15" s="39"/>
      <c r="AH15" s="39"/>
      <c r="AI15" s="39"/>
      <c r="AJ15" s="39"/>
      <c r="AK15" s="39"/>
      <c r="AL15" s="39"/>
      <c r="AM15" s="39"/>
      <c r="AN15" s="39"/>
      <c r="AO15" s="39"/>
      <c r="AP15" s="39"/>
      <c r="AQ15" s="39"/>
      <c r="AR15" s="39"/>
      <c r="AS15" s="39">
        <v>712</v>
      </c>
      <c r="AT15" s="39" t="s">
        <v>87</v>
      </c>
      <c r="AU15" s="39" t="s">
        <v>88</v>
      </c>
      <c r="AV15" s="70" t="s">
        <v>293</v>
      </c>
      <c r="AW15" s="39">
        <v>712</v>
      </c>
      <c r="AX15" s="39" t="s">
        <v>87</v>
      </c>
      <c r="AY15" s="39">
        <v>240182</v>
      </c>
      <c r="AZ15" s="37" t="s">
        <v>89</v>
      </c>
      <c r="BA15" s="37"/>
      <c r="BB15" s="37"/>
      <c r="BC15" s="37"/>
      <c r="BD15" s="37"/>
      <c r="BE15" s="37" t="s">
        <v>478</v>
      </c>
    </row>
    <row r="16" spans="1:58" s="18" customFormat="1" ht="165.75" customHeight="1" x14ac:dyDescent="0.25">
      <c r="A16" s="39" t="s">
        <v>69</v>
      </c>
      <c r="B16" s="37" t="s">
        <v>70</v>
      </c>
      <c r="C16" s="39" t="s">
        <v>71</v>
      </c>
      <c r="D16" s="39">
        <v>477</v>
      </c>
      <c r="E16" s="39" t="s">
        <v>107</v>
      </c>
      <c r="F16" s="39" t="s">
        <v>108</v>
      </c>
      <c r="G16" s="39" t="s">
        <v>109</v>
      </c>
      <c r="H16" s="37" t="s">
        <v>110</v>
      </c>
      <c r="I16" s="37" t="s">
        <v>111</v>
      </c>
      <c r="J16" s="37" t="s">
        <v>96</v>
      </c>
      <c r="K16" s="39" t="s">
        <v>78</v>
      </c>
      <c r="L16" s="39" t="s">
        <v>79</v>
      </c>
      <c r="M16" s="39" t="s">
        <v>321</v>
      </c>
      <c r="N16" s="68" t="s">
        <v>81</v>
      </c>
      <c r="O16" s="39" t="s">
        <v>106</v>
      </c>
      <c r="P16" s="39" t="s">
        <v>83</v>
      </c>
      <c r="Q16" s="40">
        <v>45838</v>
      </c>
      <c r="R16" s="37"/>
      <c r="S16" s="37"/>
      <c r="T16" s="37"/>
      <c r="U16" s="69">
        <v>0.375</v>
      </c>
      <c r="V16" s="39">
        <v>2025</v>
      </c>
      <c r="W16" s="39" t="s">
        <v>101</v>
      </c>
      <c r="X16" s="39" t="s">
        <v>86</v>
      </c>
      <c r="Y16" s="39"/>
      <c r="Z16" s="39"/>
      <c r="AA16" s="39"/>
      <c r="AB16" s="39"/>
      <c r="AC16" s="39"/>
      <c r="AD16" s="39"/>
      <c r="AE16" s="39"/>
      <c r="AF16" s="39"/>
      <c r="AG16" s="39"/>
      <c r="AH16" s="39"/>
      <c r="AI16" s="39"/>
      <c r="AJ16" s="39"/>
      <c r="AK16" s="39"/>
      <c r="AL16" s="39"/>
      <c r="AM16" s="39"/>
      <c r="AN16" s="39"/>
      <c r="AO16" s="39"/>
      <c r="AP16" s="39"/>
      <c r="AQ16" s="39"/>
      <c r="AR16" s="39"/>
      <c r="AS16" s="39">
        <v>712</v>
      </c>
      <c r="AT16" s="39" t="s">
        <v>87</v>
      </c>
      <c r="AU16" s="39" t="s">
        <v>88</v>
      </c>
      <c r="AV16" s="70" t="s">
        <v>293</v>
      </c>
      <c r="AW16" s="39">
        <v>712</v>
      </c>
      <c r="AX16" s="39" t="s">
        <v>87</v>
      </c>
      <c r="AY16" s="39">
        <v>240182</v>
      </c>
      <c r="AZ16" s="37" t="s">
        <v>89</v>
      </c>
      <c r="BA16" s="37"/>
      <c r="BB16" s="37"/>
      <c r="BC16" s="37"/>
      <c r="BD16" s="37"/>
      <c r="BE16" s="37" t="s">
        <v>478</v>
      </c>
    </row>
    <row r="17" spans="1:57" s="18" customFormat="1" ht="191.25" customHeight="1" x14ac:dyDescent="0.25">
      <c r="A17" s="19" t="s">
        <v>69</v>
      </c>
      <c r="B17" s="20" t="s">
        <v>70</v>
      </c>
      <c r="C17" s="19" t="s">
        <v>71</v>
      </c>
      <c r="D17" s="19">
        <v>478</v>
      </c>
      <c r="E17" s="19" t="s">
        <v>112</v>
      </c>
      <c r="F17" s="19" t="s">
        <v>113</v>
      </c>
      <c r="G17" s="19" t="s">
        <v>114</v>
      </c>
      <c r="H17" s="20" t="s">
        <v>115</v>
      </c>
      <c r="I17" s="48" t="s">
        <v>116</v>
      </c>
      <c r="J17" s="20" t="s">
        <v>96</v>
      </c>
      <c r="K17" s="19" t="s">
        <v>78</v>
      </c>
      <c r="L17" s="31" t="s">
        <v>117</v>
      </c>
      <c r="M17" s="32" t="s">
        <v>118</v>
      </c>
      <c r="N17" s="32" t="s">
        <v>119</v>
      </c>
      <c r="O17" s="19" t="s">
        <v>82</v>
      </c>
      <c r="P17" s="41" t="s">
        <v>83</v>
      </c>
      <c r="Q17" s="42">
        <v>45838</v>
      </c>
      <c r="R17" s="22">
        <v>1125</v>
      </c>
      <c r="S17" s="19">
        <v>2023</v>
      </c>
      <c r="T17" s="19" t="s">
        <v>84</v>
      </c>
      <c r="U17" s="21">
        <v>600</v>
      </c>
      <c r="V17" s="19">
        <v>2025</v>
      </c>
      <c r="W17" s="19" t="s">
        <v>101</v>
      </c>
      <c r="X17" s="19" t="s">
        <v>86</v>
      </c>
      <c r="Y17" s="23">
        <v>0</v>
      </c>
      <c r="Z17" s="24" t="s">
        <v>393</v>
      </c>
      <c r="AA17" s="24" t="s">
        <v>340</v>
      </c>
      <c r="AB17" s="23">
        <v>150</v>
      </c>
      <c r="AC17" s="24" t="s">
        <v>398</v>
      </c>
      <c r="AD17" s="24" t="s">
        <v>399</v>
      </c>
      <c r="AE17" s="23">
        <v>424</v>
      </c>
      <c r="AF17" s="23" t="s">
        <v>448</v>
      </c>
      <c r="AG17" s="23" t="s">
        <v>391</v>
      </c>
      <c r="AH17" s="84">
        <v>600</v>
      </c>
      <c r="AI17" s="84" t="s">
        <v>491</v>
      </c>
      <c r="AJ17" s="84" t="s">
        <v>391</v>
      </c>
      <c r="AK17" s="91" t="s">
        <v>351</v>
      </c>
      <c r="AL17" s="91">
        <v>4</v>
      </c>
      <c r="AM17" s="91" t="s">
        <v>352</v>
      </c>
      <c r="AN17" s="91">
        <v>6</v>
      </c>
      <c r="AO17" s="91">
        <v>6</v>
      </c>
      <c r="AP17" s="91">
        <v>3</v>
      </c>
      <c r="AQ17" s="91">
        <v>5</v>
      </c>
      <c r="AR17" s="91" t="s">
        <v>370</v>
      </c>
      <c r="AS17" s="19">
        <v>712</v>
      </c>
      <c r="AT17" s="19" t="s">
        <v>87</v>
      </c>
      <c r="AU17" s="19" t="s">
        <v>120</v>
      </c>
      <c r="AV17" s="27" t="s">
        <v>294</v>
      </c>
      <c r="AW17" s="19">
        <v>712</v>
      </c>
      <c r="AX17" s="19" t="s">
        <v>87</v>
      </c>
      <c r="AY17" s="19" t="s">
        <v>121</v>
      </c>
      <c r="AZ17" s="20" t="s">
        <v>122</v>
      </c>
      <c r="BA17" s="19">
        <v>500</v>
      </c>
      <c r="BB17" s="63">
        <v>2019173659</v>
      </c>
      <c r="BC17" s="63">
        <v>2010374323</v>
      </c>
      <c r="BD17" s="20" t="s">
        <v>477</v>
      </c>
      <c r="BE17" s="20"/>
    </row>
    <row r="18" spans="1:57" s="18" customFormat="1" ht="114.75" customHeight="1" x14ac:dyDescent="0.25">
      <c r="A18" s="19" t="s">
        <v>69</v>
      </c>
      <c r="B18" s="20" t="s">
        <v>70</v>
      </c>
      <c r="C18" s="19" t="s">
        <v>71</v>
      </c>
      <c r="D18" s="19">
        <v>479</v>
      </c>
      <c r="E18" s="19" t="s">
        <v>107</v>
      </c>
      <c r="F18" s="23" t="s">
        <v>108</v>
      </c>
      <c r="G18" s="23" t="s">
        <v>123</v>
      </c>
      <c r="H18" s="24" t="s">
        <v>124</v>
      </c>
      <c r="I18" s="48" t="s">
        <v>125</v>
      </c>
      <c r="J18" s="24" t="s">
        <v>96</v>
      </c>
      <c r="K18" s="23" t="s">
        <v>78</v>
      </c>
      <c r="L18" s="30" t="s">
        <v>79</v>
      </c>
      <c r="M18" s="29" t="s">
        <v>322</v>
      </c>
      <c r="N18" s="29" t="s">
        <v>149</v>
      </c>
      <c r="O18" s="23" t="s">
        <v>82</v>
      </c>
      <c r="P18" s="44" t="s">
        <v>83</v>
      </c>
      <c r="Q18" s="45">
        <v>45838</v>
      </c>
      <c r="R18" s="23">
        <v>801</v>
      </c>
      <c r="S18" s="23">
        <v>2023</v>
      </c>
      <c r="T18" s="23" t="s">
        <v>84</v>
      </c>
      <c r="U18" s="50">
        <v>250</v>
      </c>
      <c r="V18" s="23">
        <v>2025</v>
      </c>
      <c r="W18" s="23" t="s">
        <v>101</v>
      </c>
      <c r="X18" s="23" t="s">
        <v>86</v>
      </c>
      <c r="Y18" s="23">
        <v>0</v>
      </c>
      <c r="Z18" s="23" t="s">
        <v>393</v>
      </c>
      <c r="AA18" s="23" t="s">
        <v>340</v>
      </c>
      <c r="AB18" s="23">
        <v>220</v>
      </c>
      <c r="AC18" s="23" t="s">
        <v>395</v>
      </c>
      <c r="AD18" s="23" t="s">
        <v>394</v>
      </c>
      <c r="AE18" s="23">
        <v>376</v>
      </c>
      <c r="AF18" s="23" t="s">
        <v>395</v>
      </c>
      <c r="AG18" s="23" t="s">
        <v>394</v>
      </c>
      <c r="AH18" s="84">
        <v>500</v>
      </c>
      <c r="AI18" s="84" t="s">
        <v>492</v>
      </c>
      <c r="AJ18" s="84" t="s">
        <v>394</v>
      </c>
      <c r="AK18" s="91" t="s">
        <v>351</v>
      </c>
      <c r="AL18" s="91">
        <v>4</v>
      </c>
      <c r="AM18" s="91" t="s">
        <v>352</v>
      </c>
      <c r="AN18" s="91">
        <v>6</v>
      </c>
      <c r="AO18" s="91">
        <v>8</v>
      </c>
      <c r="AP18" s="91">
        <v>2</v>
      </c>
      <c r="AQ18" s="91">
        <v>7</v>
      </c>
      <c r="AR18" s="91" t="s">
        <v>370</v>
      </c>
      <c r="AS18" s="19">
        <v>712</v>
      </c>
      <c r="AT18" s="19" t="s">
        <v>87</v>
      </c>
      <c r="AU18" s="19" t="s">
        <v>88</v>
      </c>
      <c r="AV18" s="27" t="s">
        <v>293</v>
      </c>
      <c r="AW18" s="19">
        <v>712</v>
      </c>
      <c r="AX18" s="19" t="s">
        <v>87</v>
      </c>
      <c r="AY18" s="19">
        <v>240182</v>
      </c>
      <c r="AZ18" s="20" t="s">
        <v>89</v>
      </c>
      <c r="BA18" s="19">
        <v>500</v>
      </c>
      <c r="BB18" s="63">
        <v>2019173659</v>
      </c>
      <c r="BC18" s="63">
        <v>2010374323</v>
      </c>
      <c r="BD18" s="20" t="s">
        <v>477</v>
      </c>
      <c r="BE18" s="20"/>
    </row>
    <row r="19" spans="1:57" s="18" customFormat="1" ht="178.5" customHeight="1" x14ac:dyDescent="0.25">
      <c r="A19" s="19" t="s">
        <v>69</v>
      </c>
      <c r="B19" s="20" t="s">
        <v>70</v>
      </c>
      <c r="C19" s="19" t="s">
        <v>71</v>
      </c>
      <c r="D19" s="19">
        <v>480</v>
      </c>
      <c r="E19" s="19" t="s">
        <v>72</v>
      </c>
      <c r="F19" s="19" t="s">
        <v>90</v>
      </c>
      <c r="G19" s="19" t="s">
        <v>74</v>
      </c>
      <c r="H19" s="20" t="s">
        <v>126</v>
      </c>
      <c r="I19" s="46" t="s">
        <v>127</v>
      </c>
      <c r="J19" s="20" t="s">
        <v>77</v>
      </c>
      <c r="K19" s="19" t="s">
        <v>78</v>
      </c>
      <c r="L19" s="30" t="s">
        <v>97</v>
      </c>
      <c r="M19" s="29" t="s">
        <v>98</v>
      </c>
      <c r="N19" s="29" t="s">
        <v>99</v>
      </c>
      <c r="O19" s="41" t="s">
        <v>106</v>
      </c>
      <c r="P19" s="41" t="s">
        <v>83</v>
      </c>
      <c r="Q19" s="42">
        <v>45838</v>
      </c>
      <c r="R19" s="19" t="s">
        <v>128</v>
      </c>
      <c r="S19" s="19">
        <v>2023</v>
      </c>
      <c r="T19" s="19" t="s">
        <v>100</v>
      </c>
      <c r="U19" s="19">
        <v>45</v>
      </c>
      <c r="V19" s="19">
        <v>2025</v>
      </c>
      <c r="W19" s="19" t="s">
        <v>101</v>
      </c>
      <c r="X19" s="19" t="s">
        <v>86</v>
      </c>
      <c r="Y19" s="23">
        <v>2</v>
      </c>
      <c r="Z19" s="23" t="s">
        <v>396</v>
      </c>
      <c r="AA19" s="23" t="s">
        <v>390</v>
      </c>
      <c r="AB19" s="23">
        <v>7.81</v>
      </c>
      <c r="AC19" s="23" t="s">
        <v>397</v>
      </c>
      <c r="AD19" s="23" t="s">
        <v>390</v>
      </c>
      <c r="AE19" s="23">
        <v>13.35</v>
      </c>
      <c r="AF19" s="23" t="s">
        <v>450</v>
      </c>
      <c r="AG19" s="23" t="s">
        <v>390</v>
      </c>
      <c r="AH19" s="84">
        <v>22.5</v>
      </c>
      <c r="AI19" s="84" t="s">
        <v>493</v>
      </c>
      <c r="AJ19" s="84" t="s">
        <v>390</v>
      </c>
      <c r="AK19" s="91" t="s">
        <v>351</v>
      </c>
      <c r="AL19" s="91" t="s">
        <v>340</v>
      </c>
      <c r="AM19" s="91" t="s">
        <v>352</v>
      </c>
      <c r="AN19" s="91" t="s">
        <v>340</v>
      </c>
      <c r="AO19" s="91" t="s">
        <v>340</v>
      </c>
      <c r="AP19" s="91" t="s">
        <v>340</v>
      </c>
      <c r="AQ19" s="91" t="s">
        <v>340</v>
      </c>
      <c r="AR19" s="91" t="s">
        <v>340</v>
      </c>
      <c r="AS19" s="19">
        <v>712</v>
      </c>
      <c r="AT19" s="19" t="s">
        <v>87</v>
      </c>
      <c r="AU19" s="19" t="s">
        <v>88</v>
      </c>
      <c r="AV19" s="27" t="s">
        <v>293</v>
      </c>
      <c r="AW19" s="19">
        <v>712</v>
      </c>
      <c r="AX19" s="19" t="s">
        <v>87</v>
      </c>
      <c r="AY19" s="19">
        <v>240182</v>
      </c>
      <c r="AZ19" s="20" t="s">
        <v>89</v>
      </c>
      <c r="BA19" s="19">
        <v>500</v>
      </c>
      <c r="BB19" s="63">
        <v>2019173659</v>
      </c>
      <c r="BC19" s="63">
        <v>2010374323</v>
      </c>
      <c r="BD19" s="20" t="s">
        <v>477</v>
      </c>
      <c r="BE19" s="20"/>
    </row>
    <row r="20" spans="1:57" s="18" customFormat="1" ht="409.5" customHeight="1" x14ac:dyDescent="0.25">
      <c r="A20" s="19" t="s">
        <v>69</v>
      </c>
      <c r="B20" s="20" t="s">
        <v>70</v>
      </c>
      <c r="C20" s="19" t="s">
        <v>71</v>
      </c>
      <c r="D20" s="19">
        <v>481</v>
      </c>
      <c r="E20" s="19" t="s">
        <v>72</v>
      </c>
      <c r="F20" s="19" t="s">
        <v>129</v>
      </c>
      <c r="G20" s="19" t="s">
        <v>74</v>
      </c>
      <c r="H20" s="20" t="s">
        <v>130</v>
      </c>
      <c r="I20" s="59" t="s">
        <v>131</v>
      </c>
      <c r="J20" s="20" t="s">
        <v>77</v>
      </c>
      <c r="K20" s="19" t="s">
        <v>78</v>
      </c>
      <c r="L20" s="30" t="s">
        <v>132</v>
      </c>
      <c r="M20" s="20" t="s">
        <v>133</v>
      </c>
      <c r="N20" s="29" t="s">
        <v>134</v>
      </c>
      <c r="O20" s="19" t="s">
        <v>82</v>
      </c>
      <c r="P20" s="41" t="s">
        <v>83</v>
      </c>
      <c r="Q20" s="42">
        <v>45838</v>
      </c>
      <c r="R20" s="23" t="s">
        <v>243</v>
      </c>
      <c r="S20" s="23" t="s">
        <v>243</v>
      </c>
      <c r="T20" s="23" t="s">
        <v>84</v>
      </c>
      <c r="U20" s="23">
        <v>38</v>
      </c>
      <c r="V20" s="23">
        <v>2025</v>
      </c>
      <c r="W20" s="23" t="s">
        <v>101</v>
      </c>
      <c r="X20" s="23" t="s">
        <v>135</v>
      </c>
      <c r="Y20" s="23">
        <v>6</v>
      </c>
      <c r="Z20" s="23" t="s">
        <v>367</v>
      </c>
      <c r="AA20" s="23" t="s">
        <v>368</v>
      </c>
      <c r="AB20" s="23">
        <v>23</v>
      </c>
      <c r="AC20" s="23" t="s">
        <v>369</v>
      </c>
      <c r="AD20" s="23" t="s">
        <v>368</v>
      </c>
      <c r="AE20" s="23">
        <v>23</v>
      </c>
      <c r="AF20" s="23" t="s">
        <v>369</v>
      </c>
      <c r="AG20" s="23" t="s">
        <v>368</v>
      </c>
      <c r="AH20" s="84">
        <v>3</v>
      </c>
      <c r="AI20" s="84" t="s">
        <v>496</v>
      </c>
      <c r="AJ20" s="84" t="s">
        <v>368</v>
      </c>
      <c r="AK20" s="83" t="s">
        <v>340</v>
      </c>
      <c r="AL20" s="83" t="s">
        <v>340</v>
      </c>
      <c r="AM20" s="83" t="s">
        <v>340</v>
      </c>
      <c r="AN20" s="83" t="s">
        <v>340</v>
      </c>
      <c r="AO20" s="83" t="s">
        <v>340</v>
      </c>
      <c r="AP20" s="83" t="s">
        <v>340</v>
      </c>
      <c r="AQ20" s="83" t="s">
        <v>340</v>
      </c>
      <c r="AR20" s="83">
        <v>14</v>
      </c>
      <c r="AS20" s="19">
        <v>712</v>
      </c>
      <c r="AT20" s="19" t="s">
        <v>87</v>
      </c>
      <c r="AU20" s="19" t="s">
        <v>136</v>
      </c>
      <c r="AV20" s="27" t="s">
        <v>295</v>
      </c>
      <c r="AW20" s="19">
        <v>712</v>
      </c>
      <c r="AX20" s="19" t="s">
        <v>87</v>
      </c>
      <c r="AY20" s="19">
        <v>240192</v>
      </c>
      <c r="AZ20" s="20" t="s">
        <v>137</v>
      </c>
      <c r="BA20" s="19">
        <v>65</v>
      </c>
      <c r="BB20" s="64">
        <v>3023709934</v>
      </c>
      <c r="BC20" s="64">
        <v>2661846782</v>
      </c>
      <c r="BD20" s="20" t="s">
        <v>477</v>
      </c>
      <c r="BE20" s="20"/>
    </row>
    <row r="21" spans="1:57" s="18" customFormat="1" ht="409.5" customHeight="1" x14ac:dyDescent="0.25">
      <c r="A21" s="19" t="s">
        <v>69</v>
      </c>
      <c r="B21" s="20" t="s">
        <v>70</v>
      </c>
      <c r="C21" s="19" t="s">
        <v>71</v>
      </c>
      <c r="D21" s="19">
        <v>482</v>
      </c>
      <c r="E21" s="19" t="s">
        <v>72</v>
      </c>
      <c r="F21" s="19" t="s">
        <v>129</v>
      </c>
      <c r="G21" s="19" t="s">
        <v>74</v>
      </c>
      <c r="H21" s="20" t="s">
        <v>138</v>
      </c>
      <c r="I21" s="48" t="s">
        <v>139</v>
      </c>
      <c r="J21" s="20" t="s">
        <v>77</v>
      </c>
      <c r="K21" s="19" t="s">
        <v>78</v>
      </c>
      <c r="L21" s="30" t="s">
        <v>140</v>
      </c>
      <c r="M21" s="29" t="s">
        <v>141</v>
      </c>
      <c r="N21" s="29" t="s">
        <v>134</v>
      </c>
      <c r="O21" s="19" t="s">
        <v>82</v>
      </c>
      <c r="P21" s="41" t="s">
        <v>83</v>
      </c>
      <c r="Q21" s="42">
        <v>45838</v>
      </c>
      <c r="R21" s="19">
        <v>214</v>
      </c>
      <c r="S21" s="19">
        <v>2023</v>
      </c>
      <c r="T21" s="19" t="s">
        <v>84</v>
      </c>
      <c r="U21" s="19">
        <v>65</v>
      </c>
      <c r="V21" s="19">
        <v>2025</v>
      </c>
      <c r="W21" s="19" t="s">
        <v>101</v>
      </c>
      <c r="X21" s="19" t="s">
        <v>135</v>
      </c>
      <c r="Y21" s="23">
        <v>25</v>
      </c>
      <c r="Z21" s="24" t="s">
        <v>371</v>
      </c>
      <c r="AA21" s="23" t="s">
        <v>372</v>
      </c>
      <c r="AB21" s="23">
        <v>70</v>
      </c>
      <c r="AC21" s="24" t="s">
        <v>373</v>
      </c>
      <c r="AD21" s="24" t="s">
        <v>372</v>
      </c>
      <c r="AE21" s="23">
        <v>70</v>
      </c>
      <c r="AF21" s="24" t="s">
        <v>373</v>
      </c>
      <c r="AG21" s="24" t="s">
        <v>372</v>
      </c>
      <c r="AH21" s="84">
        <v>70</v>
      </c>
      <c r="AI21" s="85" t="s">
        <v>495</v>
      </c>
      <c r="AJ21" s="85" t="s">
        <v>372</v>
      </c>
      <c r="AK21" s="83" t="s">
        <v>340</v>
      </c>
      <c r="AL21" s="83" t="s">
        <v>340</v>
      </c>
      <c r="AM21" s="83" t="s">
        <v>340</v>
      </c>
      <c r="AN21" s="83" t="s">
        <v>340</v>
      </c>
      <c r="AO21" s="83" t="s">
        <v>340</v>
      </c>
      <c r="AP21" s="83" t="s">
        <v>340</v>
      </c>
      <c r="AQ21" s="83" t="s">
        <v>340</v>
      </c>
      <c r="AR21" s="83" t="s">
        <v>498</v>
      </c>
      <c r="AS21" s="19">
        <v>712</v>
      </c>
      <c r="AT21" s="19" t="s">
        <v>87</v>
      </c>
      <c r="AU21" s="19" t="s">
        <v>136</v>
      </c>
      <c r="AV21" s="27" t="s">
        <v>295</v>
      </c>
      <c r="AW21" s="19">
        <v>712</v>
      </c>
      <c r="AX21" s="19" t="s">
        <v>87</v>
      </c>
      <c r="AY21" s="19">
        <v>240192</v>
      </c>
      <c r="AZ21" s="20" t="s">
        <v>137</v>
      </c>
      <c r="BA21" s="19">
        <v>65</v>
      </c>
      <c r="BB21" s="64">
        <v>3023709934</v>
      </c>
      <c r="BC21" s="64">
        <v>2661846782</v>
      </c>
      <c r="BD21" s="20" t="s">
        <v>477</v>
      </c>
      <c r="BE21" s="20"/>
    </row>
    <row r="22" spans="1:57" s="18" customFormat="1" ht="102" customHeight="1" x14ac:dyDescent="0.25">
      <c r="A22" s="19" t="s">
        <v>69</v>
      </c>
      <c r="B22" s="20" t="s">
        <v>70</v>
      </c>
      <c r="C22" s="19" t="s">
        <v>71</v>
      </c>
      <c r="D22" s="19">
        <v>483</v>
      </c>
      <c r="E22" s="19" t="s">
        <v>72</v>
      </c>
      <c r="F22" s="19" t="s">
        <v>129</v>
      </c>
      <c r="G22" s="19" t="s">
        <v>74</v>
      </c>
      <c r="H22" s="20" t="s">
        <v>142</v>
      </c>
      <c r="I22" s="48" t="s">
        <v>143</v>
      </c>
      <c r="J22" s="20" t="s">
        <v>77</v>
      </c>
      <c r="K22" s="19" t="s">
        <v>78</v>
      </c>
      <c r="L22" s="19" t="s">
        <v>79</v>
      </c>
      <c r="M22" s="19" t="s">
        <v>144</v>
      </c>
      <c r="N22" s="29" t="s">
        <v>134</v>
      </c>
      <c r="O22" s="19" t="s">
        <v>82</v>
      </c>
      <c r="P22" s="41" t="s">
        <v>83</v>
      </c>
      <c r="Q22" s="42">
        <v>45838</v>
      </c>
      <c r="R22" s="23">
        <v>214</v>
      </c>
      <c r="S22" s="23">
        <v>2023</v>
      </c>
      <c r="T22" s="23" t="s">
        <v>84</v>
      </c>
      <c r="U22" s="23">
        <v>214</v>
      </c>
      <c r="V22" s="23">
        <v>2025</v>
      </c>
      <c r="W22" s="23" t="s">
        <v>85</v>
      </c>
      <c r="X22" s="23" t="s">
        <v>238</v>
      </c>
      <c r="Y22" s="23">
        <v>214</v>
      </c>
      <c r="Z22" s="23" t="s">
        <v>374</v>
      </c>
      <c r="AA22" s="23" t="s">
        <v>375</v>
      </c>
      <c r="AB22" s="23">
        <v>0</v>
      </c>
      <c r="AC22" s="23" t="s">
        <v>451</v>
      </c>
      <c r="AD22" s="23" t="s">
        <v>390</v>
      </c>
      <c r="AE22" s="23">
        <v>0</v>
      </c>
      <c r="AF22" s="23" t="s">
        <v>451</v>
      </c>
      <c r="AG22" s="23" t="s">
        <v>390</v>
      </c>
      <c r="AH22" s="84">
        <v>3</v>
      </c>
      <c r="AI22" s="84" t="s">
        <v>497</v>
      </c>
      <c r="AJ22" s="84" t="s">
        <v>390</v>
      </c>
      <c r="AK22" s="83" t="s">
        <v>340</v>
      </c>
      <c r="AL22" s="83" t="s">
        <v>340</v>
      </c>
      <c r="AM22" s="83" t="s">
        <v>340</v>
      </c>
      <c r="AN22" s="83" t="s">
        <v>340</v>
      </c>
      <c r="AO22" s="83" t="s">
        <v>340</v>
      </c>
      <c r="AP22" s="83" t="s">
        <v>340</v>
      </c>
      <c r="AQ22" s="83" t="s">
        <v>340</v>
      </c>
      <c r="AR22" s="83"/>
      <c r="AS22" s="19">
        <v>712</v>
      </c>
      <c r="AT22" s="19" t="s">
        <v>87</v>
      </c>
      <c r="AU22" s="19" t="s">
        <v>136</v>
      </c>
      <c r="AV22" s="27" t="s">
        <v>295</v>
      </c>
      <c r="AW22" s="19">
        <v>712</v>
      </c>
      <c r="AX22" s="19" t="s">
        <v>87</v>
      </c>
      <c r="AY22" s="19">
        <v>240192</v>
      </c>
      <c r="AZ22" s="20" t="s">
        <v>137</v>
      </c>
      <c r="BA22" s="19">
        <v>65</v>
      </c>
      <c r="BB22" s="64">
        <v>3023709934</v>
      </c>
      <c r="BC22" s="64">
        <v>2661846782</v>
      </c>
      <c r="BD22" s="20" t="s">
        <v>477</v>
      </c>
      <c r="BE22" s="20"/>
    </row>
    <row r="23" spans="1:57" s="18" customFormat="1" ht="409.5" x14ac:dyDescent="0.25">
      <c r="A23" s="19" t="s">
        <v>69</v>
      </c>
      <c r="B23" s="20" t="s">
        <v>70</v>
      </c>
      <c r="C23" s="19" t="s">
        <v>71</v>
      </c>
      <c r="D23" s="19">
        <v>484</v>
      </c>
      <c r="E23" s="19" t="s">
        <v>72</v>
      </c>
      <c r="F23" s="19" t="s">
        <v>129</v>
      </c>
      <c r="G23" s="19" t="s">
        <v>74</v>
      </c>
      <c r="H23" s="20" t="s">
        <v>145</v>
      </c>
      <c r="I23" s="46" t="s">
        <v>146</v>
      </c>
      <c r="J23" s="20" t="s">
        <v>147</v>
      </c>
      <c r="K23" s="19" t="s">
        <v>78</v>
      </c>
      <c r="L23" s="30" t="s">
        <v>117</v>
      </c>
      <c r="M23" s="29" t="s">
        <v>148</v>
      </c>
      <c r="N23" s="29" t="s">
        <v>149</v>
      </c>
      <c r="O23" s="19" t="s">
        <v>82</v>
      </c>
      <c r="P23" s="51" t="s">
        <v>83</v>
      </c>
      <c r="Q23" s="73">
        <v>45838</v>
      </c>
      <c r="R23" s="19">
        <v>490</v>
      </c>
      <c r="S23" s="23">
        <v>2023</v>
      </c>
      <c r="T23" s="19" t="s">
        <v>84</v>
      </c>
      <c r="U23" s="50">
        <v>250</v>
      </c>
      <c r="V23" s="19">
        <v>2025</v>
      </c>
      <c r="W23" s="19" t="s">
        <v>101</v>
      </c>
      <c r="X23" s="19" t="s">
        <v>86</v>
      </c>
      <c r="Y23" s="44">
        <v>179</v>
      </c>
      <c r="Z23" s="44"/>
      <c r="AA23" s="44" t="s">
        <v>432</v>
      </c>
      <c r="AB23" s="23">
        <f>+(Y23*100)/U23</f>
        <v>71.599999999999994</v>
      </c>
      <c r="AC23" s="23" t="s">
        <v>452</v>
      </c>
      <c r="AD23" s="23" t="s">
        <v>433</v>
      </c>
      <c r="AE23" s="23">
        <v>197.15</v>
      </c>
      <c r="AF23" s="23" t="s">
        <v>452</v>
      </c>
      <c r="AG23" s="23" t="s">
        <v>390</v>
      </c>
      <c r="AH23" s="84">
        <v>250</v>
      </c>
      <c r="AI23" s="84" t="s">
        <v>504</v>
      </c>
      <c r="AJ23" s="84" t="s">
        <v>390</v>
      </c>
      <c r="AK23" s="91" t="s">
        <v>351</v>
      </c>
      <c r="AL23" s="91">
        <f>1+5+4</f>
        <v>10</v>
      </c>
      <c r="AM23" s="91" t="s">
        <v>352</v>
      </c>
      <c r="AN23" s="91">
        <f>5+1</f>
        <v>6</v>
      </c>
      <c r="AO23" s="91">
        <f>21+15</f>
        <v>36</v>
      </c>
      <c r="AP23" s="91">
        <f>4+2</f>
        <v>6</v>
      </c>
      <c r="AQ23" s="91">
        <f>16+9+1</f>
        <v>26</v>
      </c>
      <c r="AR23" s="91" t="s">
        <v>509</v>
      </c>
      <c r="AS23" s="19">
        <v>712</v>
      </c>
      <c r="AT23" s="19" t="s">
        <v>87</v>
      </c>
      <c r="AU23" s="19" t="s">
        <v>150</v>
      </c>
      <c r="AV23" s="27" t="s">
        <v>296</v>
      </c>
      <c r="AW23" s="19">
        <v>712</v>
      </c>
      <c r="AX23" s="19" t="s">
        <v>87</v>
      </c>
      <c r="AY23" s="19">
        <v>240188</v>
      </c>
      <c r="AZ23" s="19" t="s">
        <v>151</v>
      </c>
      <c r="BA23" s="19">
        <v>250</v>
      </c>
      <c r="BB23" s="64">
        <v>2709743353</v>
      </c>
      <c r="BC23" s="64">
        <v>2675836900</v>
      </c>
      <c r="BD23" s="20" t="s">
        <v>477</v>
      </c>
      <c r="BE23" s="20"/>
    </row>
    <row r="24" spans="1:57" s="18" customFormat="1" ht="237.5" x14ac:dyDescent="0.25">
      <c r="A24" s="39" t="s">
        <v>69</v>
      </c>
      <c r="B24" s="37" t="s">
        <v>70</v>
      </c>
      <c r="C24" s="39" t="s">
        <v>71</v>
      </c>
      <c r="D24" s="39">
        <v>485</v>
      </c>
      <c r="E24" s="39" t="s">
        <v>107</v>
      </c>
      <c r="F24" s="39" t="s">
        <v>108</v>
      </c>
      <c r="G24" s="39" t="s">
        <v>109</v>
      </c>
      <c r="H24" s="37" t="s">
        <v>152</v>
      </c>
      <c r="I24" s="37" t="s">
        <v>153</v>
      </c>
      <c r="J24" s="20" t="s">
        <v>147</v>
      </c>
      <c r="K24" s="19" t="s">
        <v>78</v>
      </c>
      <c r="L24" s="19" t="s">
        <v>79</v>
      </c>
      <c r="M24" s="19" t="s">
        <v>323</v>
      </c>
      <c r="N24" s="29" t="s">
        <v>324</v>
      </c>
      <c r="O24" s="23" t="s">
        <v>82</v>
      </c>
      <c r="P24" s="44" t="s">
        <v>83</v>
      </c>
      <c r="Q24" s="49">
        <v>45838</v>
      </c>
      <c r="R24" s="23">
        <v>1</v>
      </c>
      <c r="S24" s="23">
        <v>2024</v>
      </c>
      <c r="T24" s="19" t="s">
        <v>82</v>
      </c>
      <c r="U24" s="50">
        <v>1</v>
      </c>
      <c r="V24" s="19">
        <v>2025</v>
      </c>
      <c r="W24" s="19" t="s">
        <v>101</v>
      </c>
      <c r="X24" s="19" t="s">
        <v>86</v>
      </c>
      <c r="Y24" s="44">
        <v>0</v>
      </c>
      <c r="Z24" s="44" t="s">
        <v>434</v>
      </c>
      <c r="AA24" s="44" t="s">
        <v>348</v>
      </c>
      <c r="AB24" s="23">
        <v>0.33</v>
      </c>
      <c r="AC24" s="23" t="s">
        <v>349</v>
      </c>
      <c r="AD24" s="23" t="s">
        <v>350</v>
      </c>
      <c r="AE24" s="39"/>
      <c r="AF24" s="39"/>
      <c r="AG24" s="39"/>
      <c r="AH24" s="39"/>
      <c r="AI24" s="39"/>
      <c r="AJ24" s="39"/>
      <c r="AK24" s="39"/>
      <c r="AL24" s="39"/>
      <c r="AM24" s="39"/>
      <c r="AN24" s="39"/>
      <c r="AO24" s="39"/>
      <c r="AP24" s="39"/>
      <c r="AQ24" s="39"/>
      <c r="AR24" s="39"/>
      <c r="AS24" s="19">
        <v>712</v>
      </c>
      <c r="AT24" s="19" t="s">
        <v>87</v>
      </c>
      <c r="AU24" s="19" t="s">
        <v>150</v>
      </c>
      <c r="AV24" s="39" t="s">
        <v>296</v>
      </c>
      <c r="AW24" s="19">
        <v>712</v>
      </c>
      <c r="AX24" s="19" t="s">
        <v>87</v>
      </c>
      <c r="AY24" s="19">
        <v>240188</v>
      </c>
      <c r="AZ24" s="19" t="s">
        <v>151</v>
      </c>
      <c r="BA24" s="19">
        <v>250</v>
      </c>
      <c r="BB24" s="64">
        <v>2709743353</v>
      </c>
      <c r="BC24" s="64">
        <v>2675836900</v>
      </c>
      <c r="BD24" s="20" t="s">
        <v>477</v>
      </c>
      <c r="BE24" s="37" t="s">
        <v>478</v>
      </c>
    </row>
    <row r="25" spans="1:57" s="18" customFormat="1" ht="204" customHeight="1" x14ac:dyDescent="0.25">
      <c r="A25" s="19" t="s">
        <v>69</v>
      </c>
      <c r="B25" s="20" t="s">
        <v>70</v>
      </c>
      <c r="C25" s="19" t="s">
        <v>71</v>
      </c>
      <c r="D25" s="19">
        <v>486</v>
      </c>
      <c r="E25" s="19" t="s">
        <v>112</v>
      </c>
      <c r="F25" s="19" t="s">
        <v>154</v>
      </c>
      <c r="G25" s="19" t="s">
        <v>155</v>
      </c>
      <c r="H25" s="20" t="s">
        <v>405</v>
      </c>
      <c r="I25" s="46" t="s">
        <v>156</v>
      </c>
      <c r="J25" s="20" t="s">
        <v>147</v>
      </c>
      <c r="K25" s="19" t="s">
        <v>78</v>
      </c>
      <c r="L25" s="30" t="s">
        <v>157</v>
      </c>
      <c r="M25" s="29" t="s">
        <v>158</v>
      </c>
      <c r="N25" s="29" t="s">
        <v>159</v>
      </c>
      <c r="O25" s="19" t="s">
        <v>82</v>
      </c>
      <c r="P25" s="41" t="s">
        <v>83</v>
      </c>
      <c r="Q25" s="42">
        <v>45838</v>
      </c>
      <c r="R25" s="19">
        <v>1600</v>
      </c>
      <c r="S25" s="19">
        <v>2023</v>
      </c>
      <c r="T25" s="19" t="s">
        <v>84</v>
      </c>
      <c r="U25" s="19">
        <v>800</v>
      </c>
      <c r="V25" s="19">
        <v>2025</v>
      </c>
      <c r="W25" s="19" t="s">
        <v>101</v>
      </c>
      <c r="X25" s="19" t="s">
        <v>135</v>
      </c>
      <c r="Y25" s="44">
        <v>301</v>
      </c>
      <c r="Z25" s="44" t="s">
        <v>406</v>
      </c>
      <c r="AA25" s="44" t="s">
        <v>353</v>
      </c>
      <c r="AB25" s="44">
        <v>207</v>
      </c>
      <c r="AC25" s="44" t="s">
        <v>406</v>
      </c>
      <c r="AD25" s="44" t="s">
        <v>353</v>
      </c>
      <c r="AE25" s="44">
        <v>689</v>
      </c>
      <c r="AF25" s="44" t="s">
        <v>454</v>
      </c>
      <c r="AG25" s="23" t="s">
        <v>453</v>
      </c>
      <c r="AH25" s="84">
        <v>1018</v>
      </c>
      <c r="AI25" s="84" t="s">
        <v>505</v>
      </c>
      <c r="AJ25" s="84" t="s">
        <v>506</v>
      </c>
      <c r="AK25" s="86"/>
      <c r="AL25" s="86" t="s">
        <v>243</v>
      </c>
      <c r="AM25" s="86"/>
      <c r="AN25" s="86" t="s">
        <v>243</v>
      </c>
      <c r="AO25" s="86" t="s">
        <v>243</v>
      </c>
      <c r="AP25" s="86" t="s">
        <v>243</v>
      </c>
      <c r="AQ25" s="86" t="s">
        <v>243</v>
      </c>
      <c r="AR25" s="86" t="s">
        <v>243</v>
      </c>
      <c r="AS25" s="19">
        <v>712</v>
      </c>
      <c r="AT25" s="19" t="s">
        <v>87</v>
      </c>
      <c r="AU25" s="19" t="s">
        <v>160</v>
      </c>
      <c r="AV25" s="27" t="s">
        <v>407</v>
      </c>
      <c r="AW25" s="19">
        <v>712</v>
      </c>
      <c r="AX25" s="19" t="s">
        <v>87</v>
      </c>
      <c r="AY25" s="19">
        <v>240188</v>
      </c>
      <c r="AZ25" s="20" t="s">
        <v>151</v>
      </c>
      <c r="BA25" s="19">
        <v>800</v>
      </c>
      <c r="BB25" s="64">
        <v>2709743353</v>
      </c>
      <c r="BC25" s="64">
        <v>2675836900</v>
      </c>
      <c r="BD25" s="20" t="s">
        <v>477</v>
      </c>
      <c r="BE25" s="20"/>
    </row>
    <row r="26" spans="1:57" s="18" customFormat="1" ht="137.5" x14ac:dyDescent="0.25">
      <c r="A26" s="39" t="s">
        <v>69</v>
      </c>
      <c r="B26" s="37" t="s">
        <v>70</v>
      </c>
      <c r="C26" s="39" t="s">
        <v>71</v>
      </c>
      <c r="D26" s="39">
        <v>487</v>
      </c>
      <c r="E26" s="39" t="s">
        <v>72</v>
      </c>
      <c r="F26" s="39" t="s">
        <v>102</v>
      </c>
      <c r="G26" s="39" t="s">
        <v>103</v>
      </c>
      <c r="H26" s="37" t="s">
        <v>161</v>
      </c>
      <c r="I26" s="37" t="s">
        <v>162</v>
      </c>
      <c r="J26" s="67" t="s">
        <v>147</v>
      </c>
      <c r="K26" s="41" t="s">
        <v>78</v>
      </c>
      <c r="L26" s="44" t="s">
        <v>140</v>
      </c>
      <c r="M26" s="61" t="s">
        <v>325</v>
      </c>
      <c r="N26" s="61" t="s">
        <v>408</v>
      </c>
      <c r="O26" s="41" t="s">
        <v>82</v>
      </c>
      <c r="P26" s="51" t="s">
        <v>83</v>
      </c>
      <c r="Q26" s="73">
        <v>45838</v>
      </c>
      <c r="R26" s="23">
        <v>1</v>
      </c>
      <c r="S26" s="23">
        <v>2024</v>
      </c>
      <c r="T26" s="19" t="s">
        <v>82</v>
      </c>
      <c r="U26" s="50">
        <v>1</v>
      </c>
      <c r="V26" s="19">
        <v>2025</v>
      </c>
      <c r="W26" s="19" t="s">
        <v>85</v>
      </c>
      <c r="X26" s="19" t="s">
        <v>435</v>
      </c>
      <c r="Y26" s="44">
        <v>0</v>
      </c>
      <c r="Z26" s="44" t="s">
        <v>436</v>
      </c>
      <c r="AA26" s="44" t="s">
        <v>368</v>
      </c>
      <c r="AB26" s="23">
        <v>1.8</v>
      </c>
      <c r="AC26" s="23" t="s">
        <v>437</v>
      </c>
      <c r="AD26" s="23" t="s">
        <v>438</v>
      </c>
      <c r="AE26" s="35"/>
      <c r="AF26" s="35"/>
      <c r="AG26" s="35"/>
      <c r="AH26" s="35"/>
      <c r="AI26" s="35"/>
      <c r="AJ26" s="35"/>
      <c r="AK26" s="35"/>
      <c r="AL26" s="35"/>
      <c r="AM26" s="35"/>
      <c r="AN26" s="35"/>
      <c r="AO26" s="35"/>
      <c r="AP26" s="35"/>
      <c r="AQ26" s="35"/>
      <c r="AR26" s="35" t="s">
        <v>340</v>
      </c>
      <c r="AS26" s="19">
        <v>712</v>
      </c>
      <c r="AT26" s="19" t="s">
        <v>87</v>
      </c>
      <c r="AU26" s="19" t="s">
        <v>150</v>
      </c>
      <c r="AV26" s="35" t="s">
        <v>296</v>
      </c>
      <c r="AW26" s="19">
        <v>712</v>
      </c>
      <c r="AX26" s="19" t="s">
        <v>87</v>
      </c>
      <c r="AY26" s="19">
        <v>240188</v>
      </c>
      <c r="AZ26" s="19" t="s">
        <v>151</v>
      </c>
      <c r="BA26" s="19">
        <v>250</v>
      </c>
      <c r="BB26" s="64">
        <v>2709743353</v>
      </c>
      <c r="BC26" s="64">
        <v>2675836900</v>
      </c>
      <c r="BD26" s="20" t="s">
        <v>477</v>
      </c>
      <c r="BE26" s="37" t="s">
        <v>478</v>
      </c>
    </row>
    <row r="27" spans="1:57" s="18" customFormat="1" ht="127.5" customHeight="1" x14ac:dyDescent="0.25">
      <c r="A27" s="39" t="s">
        <v>69</v>
      </c>
      <c r="B27" s="37" t="s">
        <v>163</v>
      </c>
      <c r="C27" s="39" t="s">
        <v>71</v>
      </c>
      <c r="D27" s="39">
        <v>488</v>
      </c>
      <c r="E27" s="39" t="s">
        <v>72</v>
      </c>
      <c r="F27" s="39" t="s">
        <v>164</v>
      </c>
      <c r="G27" s="39" t="s">
        <v>123</v>
      </c>
      <c r="H27" s="37" t="s">
        <v>165</v>
      </c>
      <c r="I27" s="37" t="s">
        <v>166</v>
      </c>
      <c r="J27" s="37" t="s">
        <v>77</v>
      </c>
      <c r="K27" s="39" t="s">
        <v>78</v>
      </c>
      <c r="L27" s="39" t="s">
        <v>303</v>
      </c>
      <c r="M27" s="39" t="s">
        <v>326</v>
      </c>
      <c r="N27" s="68" t="s">
        <v>408</v>
      </c>
      <c r="O27" s="39" t="s">
        <v>82</v>
      </c>
      <c r="P27" s="39" t="s">
        <v>83</v>
      </c>
      <c r="Q27" s="40">
        <v>45838</v>
      </c>
      <c r="R27" s="37"/>
      <c r="S27" s="37"/>
      <c r="T27" s="37"/>
      <c r="U27" s="69"/>
      <c r="V27" s="39">
        <v>2025</v>
      </c>
      <c r="W27" s="39" t="s">
        <v>101</v>
      </c>
      <c r="X27" s="39" t="s">
        <v>86</v>
      </c>
      <c r="Y27" s="37"/>
      <c r="Z27" s="37"/>
      <c r="AA27" s="37"/>
      <c r="AB27" s="37"/>
      <c r="AC27" s="37"/>
      <c r="AD27" s="37"/>
      <c r="AE27" s="37"/>
      <c r="AF27" s="37"/>
      <c r="AG27" s="37"/>
      <c r="AH27" s="37"/>
      <c r="AI27" s="37"/>
      <c r="AJ27" s="37"/>
      <c r="AK27" s="37"/>
      <c r="AL27" s="37"/>
      <c r="AM27" s="37"/>
      <c r="AN27" s="37"/>
      <c r="AO27" s="37"/>
      <c r="AP27" s="37"/>
      <c r="AQ27" s="37"/>
      <c r="AR27" s="37"/>
      <c r="AS27" s="39">
        <v>712</v>
      </c>
      <c r="AT27" s="39" t="s">
        <v>87</v>
      </c>
      <c r="AU27" s="39" t="s">
        <v>120</v>
      </c>
      <c r="AV27" s="39" t="s">
        <v>403</v>
      </c>
      <c r="AW27" s="39">
        <v>712</v>
      </c>
      <c r="AX27" s="39" t="s">
        <v>87</v>
      </c>
      <c r="AY27" s="39" t="s">
        <v>121</v>
      </c>
      <c r="AZ27" s="37" t="s">
        <v>122</v>
      </c>
      <c r="BA27" s="39">
        <v>500</v>
      </c>
      <c r="BB27" s="82"/>
      <c r="BC27" s="82"/>
      <c r="BD27" s="37"/>
      <c r="BE27" s="37" t="s">
        <v>478</v>
      </c>
    </row>
    <row r="28" spans="1:57" s="18" customFormat="1" ht="282.75" customHeight="1" x14ac:dyDescent="0.25">
      <c r="A28" s="19" t="s">
        <v>69</v>
      </c>
      <c r="B28" s="20" t="s">
        <v>163</v>
      </c>
      <c r="C28" s="19" t="s">
        <v>71</v>
      </c>
      <c r="D28" s="19">
        <v>489</v>
      </c>
      <c r="E28" s="19" t="s">
        <v>112</v>
      </c>
      <c r="F28" s="19" t="s">
        <v>167</v>
      </c>
      <c r="G28" s="19" t="s">
        <v>123</v>
      </c>
      <c r="H28" s="43" t="s">
        <v>354</v>
      </c>
      <c r="I28" s="48" t="s">
        <v>355</v>
      </c>
      <c r="J28" s="24" t="s">
        <v>168</v>
      </c>
      <c r="K28" s="23" t="s">
        <v>78</v>
      </c>
      <c r="L28" s="43" t="s">
        <v>356</v>
      </c>
      <c r="M28" s="43" t="s">
        <v>357</v>
      </c>
      <c r="N28" s="43" t="s">
        <v>358</v>
      </c>
      <c r="O28" s="44" t="s">
        <v>106</v>
      </c>
      <c r="P28" s="54" t="s">
        <v>83</v>
      </c>
      <c r="Q28" s="55">
        <v>45838</v>
      </c>
      <c r="R28" s="54" t="s">
        <v>359</v>
      </c>
      <c r="S28" s="54" t="s">
        <v>359</v>
      </c>
      <c r="T28" s="54" t="s">
        <v>359</v>
      </c>
      <c r="U28" s="54">
        <v>50</v>
      </c>
      <c r="V28" s="54">
        <v>2025</v>
      </c>
      <c r="W28" s="54" t="s">
        <v>101</v>
      </c>
      <c r="X28" s="54" t="s">
        <v>86</v>
      </c>
      <c r="Y28" s="54">
        <v>23.4</v>
      </c>
      <c r="Z28" s="56" t="s">
        <v>360</v>
      </c>
      <c r="AA28" s="57" t="s">
        <v>361</v>
      </c>
      <c r="AB28" s="54">
        <v>30.5</v>
      </c>
      <c r="AC28" s="56" t="s">
        <v>360</v>
      </c>
      <c r="AD28" s="57" t="s">
        <v>361</v>
      </c>
      <c r="AE28" s="44">
        <v>35.9</v>
      </c>
      <c r="AF28" s="44" t="s">
        <v>455</v>
      </c>
      <c r="AG28" s="23" t="s">
        <v>390</v>
      </c>
      <c r="AH28" s="84">
        <v>50</v>
      </c>
      <c r="AI28" s="88" t="s">
        <v>484</v>
      </c>
      <c r="AJ28" s="89" t="s">
        <v>361</v>
      </c>
      <c r="AK28" s="91" t="s">
        <v>351</v>
      </c>
      <c r="AL28" s="91">
        <v>27</v>
      </c>
      <c r="AM28" s="91" t="s">
        <v>352</v>
      </c>
      <c r="AN28" s="91">
        <v>17</v>
      </c>
      <c r="AO28" s="91">
        <v>16</v>
      </c>
      <c r="AP28" s="91">
        <v>3</v>
      </c>
      <c r="AQ28" s="91">
        <v>16</v>
      </c>
      <c r="AR28" s="91" t="s">
        <v>507</v>
      </c>
      <c r="AS28" s="19">
        <v>712</v>
      </c>
      <c r="AT28" s="19" t="s">
        <v>87</v>
      </c>
      <c r="AU28" s="19" t="s">
        <v>169</v>
      </c>
      <c r="AV28" s="27" t="s">
        <v>297</v>
      </c>
      <c r="AW28" s="19">
        <v>712</v>
      </c>
      <c r="AX28" s="19" t="s">
        <v>87</v>
      </c>
      <c r="AY28" s="19">
        <v>240191</v>
      </c>
      <c r="AZ28" s="20" t="s">
        <v>170</v>
      </c>
      <c r="BA28" s="19">
        <v>50</v>
      </c>
      <c r="BB28" s="64">
        <v>354585931</v>
      </c>
      <c r="BC28" s="63">
        <v>353826525</v>
      </c>
      <c r="BD28" s="20" t="s">
        <v>477</v>
      </c>
      <c r="BE28" s="20"/>
    </row>
    <row r="29" spans="1:57" s="18" customFormat="1" ht="165.75" customHeight="1" x14ac:dyDescent="0.25">
      <c r="A29" s="19" t="s">
        <v>69</v>
      </c>
      <c r="B29" s="20" t="s">
        <v>163</v>
      </c>
      <c r="C29" s="19" t="s">
        <v>71</v>
      </c>
      <c r="D29" s="19">
        <v>490</v>
      </c>
      <c r="E29" s="19" t="s">
        <v>72</v>
      </c>
      <c r="F29" s="19" t="s">
        <v>90</v>
      </c>
      <c r="G29" s="19" t="s">
        <v>114</v>
      </c>
      <c r="H29" s="20" t="s">
        <v>171</v>
      </c>
      <c r="I29" s="48" t="s">
        <v>409</v>
      </c>
      <c r="J29" s="20" t="s">
        <v>77</v>
      </c>
      <c r="K29" s="19" t="s">
        <v>78</v>
      </c>
      <c r="L29" s="30" t="s">
        <v>140</v>
      </c>
      <c r="M29" s="29" t="s">
        <v>172</v>
      </c>
      <c r="N29" s="29" t="s">
        <v>173</v>
      </c>
      <c r="O29" s="19" t="s">
        <v>82</v>
      </c>
      <c r="P29" s="41" t="s">
        <v>83</v>
      </c>
      <c r="Q29" s="42">
        <v>45838</v>
      </c>
      <c r="R29" s="19">
        <v>40</v>
      </c>
      <c r="S29" s="19">
        <v>2023</v>
      </c>
      <c r="T29" s="19" t="s">
        <v>84</v>
      </c>
      <c r="U29" s="21">
        <v>11</v>
      </c>
      <c r="V29" s="19">
        <v>2025</v>
      </c>
      <c r="W29" s="19" t="s">
        <v>101</v>
      </c>
      <c r="X29" s="19" t="s">
        <v>135</v>
      </c>
      <c r="Y29" s="51">
        <v>3</v>
      </c>
      <c r="Z29" s="52" t="s">
        <v>362</v>
      </c>
      <c r="AA29" s="58" t="s">
        <v>363</v>
      </c>
      <c r="AB29" s="51">
        <v>6</v>
      </c>
      <c r="AC29" s="52" t="s">
        <v>362</v>
      </c>
      <c r="AD29" s="53" t="s">
        <v>363</v>
      </c>
      <c r="AE29" s="44">
        <v>9</v>
      </c>
      <c r="AF29" s="44" t="s">
        <v>456</v>
      </c>
      <c r="AG29" s="23" t="s">
        <v>390</v>
      </c>
      <c r="AH29" s="84">
        <v>11</v>
      </c>
      <c r="AI29" s="88" t="s">
        <v>486</v>
      </c>
      <c r="AJ29" s="89" t="s">
        <v>363</v>
      </c>
      <c r="AK29" s="91" t="s">
        <v>351</v>
      </c>
      <c r="AL29" s="91" t="s">
        <v>340</v>
      </c>
      <c r="AM29" s="91" t="s">
        <v>340</v>
      </c>
      <c r="AN29" s="91" t="s">
        <v>340</v>
      </c>
      <c r="AO29" s="91" t="s">
        <v>340</v>
      </c>
      <c r="AP29" s="91" t="s">
        <v>340</v>
      </c>
      <c r="AQ29" s="91" t="s">
        <v>340</v>
      </c>
      <c r="AR29" s="91" t="s">
        <v>340</v>
      </c>
      <c r="AS29" s="19">
        <v>712</v>
      </c>
      <c r="AT29" s="19" t="s">
        <v>87</v>
      </c>
      <c r="AU29" s="19" t="s">
        <v>169</v>
      </c>
      <c r="AV29" s="27" t="s">
        <v>297</v>
      </c>
      <c r="AW29" s="19">
        <v>712</v>
      </c>
      <c r="AX29" s="19" t="s">
        <v>87</v>
      </c>
      <c r="AY29" s="19">
        <v>240189</v>
      </c>
      <c r="AZ29" s="20" t="s">
        <v>174</v>
      </c>
      <c r="BA29" s="19">
        <v>11</v>
      </c>
      <c r="BB29" s="64">
        <v>408512295</v>
      </c>
      <c r="BC29" s="64">
        <v>391317323</v>
      </c>
      <c r="BD29" s="20" t="s">
        <v>477</v>
      </c>
      <c r="BE29" s="20"/>
    </row>
    <row r="30" spans="1:57" s="18" customFormat="1" ht="229.5" customHeight="1" x14ac:dyDescent="0.25">
      <c r="A30" s="19" t="s">
        <v>69</v>
      </c>
      <c r="B30" s="20" t="s">
        <v>163</v>
      </c>
      <c r="C30" s="19" t="s">
        <v>71</v>
      </c>
      <c r="D30" s="19">
        <v>491</v>
      </c>
      <c r="E30" s="19" t="s">
        <v>72</v>
      </c>
      <c r="F30" s="19" t="s">
        <v>102</v>
      </c>
      <c r="G30" s="19" t="s">
        <v>103</v>
      </c>
      <c r="H30" s="20" t="s">
        <v>175</v>
      </c>
      <c r="I30" s="48" t="s">
        <v>176</v>
      </c>
      <c r="J30" s="20" t="s">
        <v>77</v>
      </c>
      <c r="K30" s="19" t="s">
        <v>78</v>
      </c>
      <c r="L30" s="31" t="s">
        <v>177</v>
      </c>
      <c r="M30" s="32" t="s">
        <v>178</v>
      </c>
      <c r="N30" s="32" t="s">
        <v>179</v>
      </c>
      <c r="O30" s="41" t="s">
        <v>106</v>
      </c>
      <c r="P30" s="41" t="s">
        <v>83</v>
      </c>
      <c r="Q30" s="42">
        <v>45838</v>
      </c>
      <c r="R30" s="19">
        <v>30</v>
      </c>
      <c r="S30" s="19">
        <v>2023</v>
      </c>
      <c r="T30" s="19" t="s">
        <v>84</v>
      </c>
      <c r="U30" s="21">
        <v>60</v>
      </c>
      <c r="V30" s="19">
        <v>2025</v>
      </c>
      <c r="W30" s="19" t="s">
        <v>101</v>
      </c>
      <c r="X30" s="19" t="s">
        <v>86</v>
      </c>
      <c r="Y30" s="51">
        <v>48</v>
      </c>
      <c r="Z30" s="52" t="s">
        <v>364</v>
      </c>
      <c r="AA30" s="58" t="s">
        <v>365</v>
      </c>
      <c r="AB30" s="51">
        <v>51.15</v>
      </c>
      <c r="AC30" s="52" t="s">
        <v>364</v>
      </c>
      <c r="AD30" s="53" t="s">
        <v>365</v>
      </c>
      <c r="AE30" s="44">
        <v>53.5</v>
      </c>
      <c r="AF30" s="44" t="s">
        <v>458</v>
      </c>
      <c r="AG30" s="23" t="s">
        <v>390</v>
      </c>
      <c r="AH30" s="84">
        <v>60</v>
      </c>
      <c r="AI30" s="88" t="s">
        <v>485</v>
      </c>
      <c r="AJ30" s="89" t="s">
        <v>365</v>
      </c>
      <c r="AK30" s="86" t="s">
        <v>351</v>
      </c>
      <c r="AL30" s="86">
        <v>6</v>
      </c>
      <c r="AM30" s="91" t="s">
        <v>352</v>
      </c>
      <c r="AN30" s="86">
        <v>3</v>
      </c>
      <c r="AO30" s="86">
        <v>6</v>
      </c>
      <c r="AP30" s="86">
        <v>1</v>
      </c>
      <c r="AQ30" s="86">
        <v>11</v>
      </c>
      <c r="AR30" s="91" t="s">
        <v>370</v>
      </c>
      <c r="AS30" s="19">
        <v>712</v>
      </c>
      <c r="AT30" s="19" t="s">
        <v>87</v>
      </c>
      <c r="AU30" s="19" t="s">
        <v>169</v>
      </c>
      <c r="AV30" s="27" t="s">
        <v>297</v>
      </c>
      <c r="AW30" s="19">
        <v>712</v>
      </c>
      <c r="AX30" s="19" t="s">
        <v>87</v>
      </c>
      <c r="AY30" s="19">
        <v>240189</v>
      </c>
      <c r="AZ30" s="20" t="s">
        <v>174</v>
      </c>
      <c r="BA30" s="26">
        <v>0.6</v>
      </c>
      <c r="BB30" s="64">
        <v>408512295</v>
      </c>
      <c r="BC30" s="64">
        <v>391317323</v>
      </c>
      <c r="BD30" s="20" t="s">
        <v>477</v>
      </c>
      <c r="BE30" s="20"/>
    </row>
    <row r="31" spans="1:57" s="18" customFormat="1" ht="140.25" customHeight="1" x14ac:dyDescent="0.25">
      <c r="A31" s="19" t="s">
        <v>69</v>
      </c>
      <c r="B31" s="20" t="s">
        <v>163</v>
      </c>
      <c r="C31" s="19" t="s">
        <v>71</v>
      </c>
      <c r="D31" s="19">
        <v>492</v>
      </c>
      <c r="E31" s="19" t="s">
        <v>72</v>
      </c>
      <c r="F31" s="19" t="s">
        <v>102</v>
      </c>
      <c r="G31" s="19" t="s">
        <v>103</v>
      </c>
      <c r="H31" s="20" t="s">
        <v>180</v>
      </c>
      <c r="I31" s="48" t="s">
        <v>181</v>
      </c>
      <c r="J31" s="20" t="s">
        <v>77</v>
      </c>
      <c r="K31" s="19" t="s">
        <v>78</v>
      </c>
      <c r="L31" s="23" t="s">
        <v>79</v>
      </c>
      <c r="M31" s="24" t="s">
        <v>182</v>
      </c>
      <c r="N31" s="24" t="s">
        <v>183</v>
      </c>
      <c r="O31" s="41" t="s">
        <v>82</v>
      </c>
      <c r="P31" s="41" t="s">
        <v>83</v>
      </c>
      <c r="Q31" s="42">
        <v>45838</v>
      </c>
      <c r="R31" s="19">
        <v>2</v>
      </c>
      <c r="S31" s="19">
        <v>2023</v>
      </c>
      <c r="T31" s="19" t="s">
        <v>84</v>
      </c>
      <c r="U31" s="21">
        <v>1</v>
      </c>
      <c r="V31" s="19">
        <v>2025</v>
      </c>
      <c r="W31" s="19" t="s">
        <v>101</v>
      </c>
      <c r="X31" s="19" t="s">
        <v>86</v>
      </c>
      <c r="Y31" s="51">
        <v>0</v>
      </c>
      <c r="Z31" s="52" t="s">
        <v>366</v>
      </c>
      <c r="AA31" s="51" t="s">
        <v>340</v>
      </c>
      <c r="AB31" s="51">
        <v>0</v>
      </c>
      <c r="AC31" s="52" t="s">
        <v>366</v>
      </c>
      <c r="AD31" s="20" t="s">
        <v>359</v>
      </c>
      <c r="AE31" s="23">
        <v>0</v>
      </c>
      <c r="AF31" s="23" t="s">
        <v>366</v>
      </c>
      <c r="AG31" s="23" t="s">
        <v>457</v>
      </c>
      <c r="AH31" s="84">
        <v>0.46800000000000003</v>
      </c>
      <c r="AI31" s="88" t="s">
        <v>487</v>
      </c>
      <c r="AJ31" s="89" t="s">
        <v>363</v>
      </c>
      <c r="AK31" s="91" t="s">
        <v>351</v>
      </c>
      <c r="AL31" s="91" t="s">
        <v>340</v>
      </c>
      <c r="AM31" s="91" t="s">
        <v>340</v>
      </c>
      <c r="AN31" s="91" t="s">
        <v>340</v>
      </c>
      <c r="AO31" s="91" t="s">
        <v>340</v>
      </c>
      <c r="AP31" s="91" t="s">
        <v>340</v>
      </c>
      <c r="AQ31" s="91" t="s">
        <v>340</v>
      </c>
      <c r="AR31" s="91" t="s">
        <v>370</v>
      </c>
      <c r="AS31" s="19">
        <v>712</v>
      </c>
      <c r="AT31" s="19" t="s">
        <v>87</v>
      </c>
      <c r="AU31" s="19" t="s">
        <v>169</v>
      </c>
      <c r="AV31" s="27" t="s">
        <v>297</v>
      </c>
      <c r="AW31" s="19">
        <v>712</v>
      </c>
      <c r="AX31" s="19" t="s">
        <v>87</v>
      </c>
      <c r="AY31" s="19">
        <v>240189</v>
      </c>
      <c r="AZ31" s="20" t="s">
        <v>174</v>
      </c>
      <c r="BA31" s="26">
        <v>0.6</v>
      </c>
      <c r="BB31" s="64">
        <v>408512295</v>
      </c>
      <c r="BC31" s="64">
        <v>391317323</v>
      </c>
      <c r="BD31" s="20" t="s">
        <v>477</v>
      </c>
      <c r="BE31" s="20"/>
    </row>
    <row r="32" spans="1:57" s="18" customFormat="1" ht="89.25" customHeight="1" x14ac:dyDescent="0.25">
      <c r="A32" s="39" t="s">
        <v>69</v>
      </c>
      <c r="B32" s="37" t="s">
        <v>163</v>
      </c>
      <c r="C32" s="39" t="s">
        <v>71</v>
      </c>
      <c r="D32" s="39">
        <v>493</v>
      </c>
      <c r="E32" s="39" t="s">
        <v>72</v>
      </c>
      <c r="F32" s="39" t="s">
        <v>102</v>
      </c>
      <c r="G32" s="39" t="s">
        <v>103</v>
      </c>
      <c r="H32" s="37" t="s">
        <v>184</v>
      </c>
      <c r="I32" s="37" t="s">
        <v>185</v>
      </c>
      <c r="J32" s="37" t="s">
        <v>77</v>
      </c>
      <c r="K32" s="39" t="s">
        <v>78</v>
      </c>
      <c r="L32" s="39" t="s">
        <v>79</v>
      </c>
      <c r="M32" s="39" t="s">
        <v>330</v>
      </c>
      <c r="N32" s="68" t="s">
        <v>332</v>
      </c>
      <c r="O32" s="39" t="s">
        <v>82</v>
      </c>
      <c r="P32" s="39" t="s">
        <v>83</v>
      </c>
      <c r="Q32" s="40">
        <v>45838</v>
      </c>
      <c r="R32" s="37"/>
      <c r="S32" s="37"/>
      <c r="T32" s="37"/>
      <c r="U32" s="69"/>
      <c r="V32" s="39">
        <v>2025</v>
      </c>
      <c r="W32" s="39" t="s">
        <v>101</v>
      </c>
      <c r="X32" s="39" t="s">
        <v>135</v>
      </c>
      <c r="Y32" s="37"/>
      <c r="Z32" s="37"/>
      <c r="AA32" s="37"/>
      <c r="AB32" s="37"/>
      <c r="AC32" s="37"/>
      <c r="AD32" s="37"/>
      <c r="AE32" s="37"/>
      <c r="AF32" s="37"/>
      <c r="AG32" s="37"/>
      <c r="AH32" s="37"/>
      <c r="AI32" s="37"/>
      <c r="AJ32" s="37"/>
      <c r="AK32" s="37"/>
      <c r="AL32" s="37"/>
      <c r="AM32" s="37"/>
      <c r="AN32" s="37"/>
      <c r="AO32" s="37"/>
      <c r="AP32" s="37"/>
      <c r="AQ32" s="37"/>
      <c r="AR32" s="37"/>
      <c r="AS32" s="39">
        <v>712</v>
      </c>
      <c r="AT32" s="39" t="s">
        <v>87</v>
      </c>
      <c r="AU32" s="39" t="s">
        <v>169</v>
      </c>
      <c r="AV32" s="70" t="s">
        <v>297</v>
      </c>
      <c r="AW32" s="39">
        <v>712</v>
      </c>
      <c r="AX32" s="39" t="s">
        <v>87</v>
      </c>
      <c r="AY32" s="39">
        <v>240189</v>
      </c>
      <c r="AZ32" s="37" t="s">
        <v>174</v>
      </c>
      <c r="BA32" s="37"/>
      <c r="BB32" s="37"/>
      <c r="BC32" s="37"/>
      <c r="BD32" s="37"/>
      <c r="BE32" s="37" t="s">
        <v>478</v>
      </c>
    </row>
    <row r="33" spans="1:57" s="18" customFormat="1" ht="89.25" customHeight="1" x14ac:dyDescent="0.25">
      <c r="A33" s="39" t="s">
        <v>69</v>
      </c>
      <c r="B33" s="37" t="s">
        <v>163</v>
      </c>
      <c r="C33" s="39" t="s">
        <v>71</v>
      </c>
      <c r="D33" s="39">
        <v>494</v>
      </c>
      <c r="E33" s="39" t="s">
        <v>72</v>
      </c>
      <c r="F33" s="39" t="s">
        <v>102</v>
      </c>
      <c r="G33" s="39" t="s">
        <v>103</v>
      </c>
      <c r="H33" s="37" t="s">
        <v>186</v>
      </c>
      <c r="I33" s="37" t="s">
        <v>404</v>
      </c>
      <c r="J33" s="37" t="s">
        <v>77</v>
      </c>
      <c r="K33" s="39" t="s">
        <v>78</v>
      </c>
      <c r="L33" s="39" t="s">
        <v>79</v>
      </c>
      <c r="M33" s="37" t="s">
        <v>331</v>
      </c>
      <c r="N33" s="68" t="s">
        <v>332</v>
      </c>
      <c r="O33" s="39" t="s">
        <v>82</v>
      </c>
      <c r="P33" s="39" t="s">
        <v>83</v>
      </c>
      <c r="Q33" s="40">
        <v>45838</v>
      </c>
      <c r="R33" s="37"/>
      <c r="S33" s="37"/>
      <c r="T33" s="37"/>
      <c r="U33" s="69"/>
      <c r="V33" s="39">
        <v>2025</v>
      </c>
      <c r="W33" s="39" t="s">
        <v>101</v>
      </c>
      <c r="X33" s="39" t="s">
        <v>135</v>
      </c>
      <c r="Y33" s="37"/>
      <c r="Z33" s="37"/>
      <c r="AA33" s="37"/>
      <c r="AB33" s="37"/>
      <c r="AC33" s="37"/>
      <c r="AD33" s="37"/>
      <c r="AE33" s="37"/>
      <c r="AF33" s="37"/>
      <c r="AG33" s="37"/>
      <c r="AH33" s="37"/>
      <c r="AI33" s="37"/>
      <c r="AJ33" s="37"/>
      <c r="AK33" s="37"/>
      <c r="AL33" s="37"/>
      <c r="AM33" s="37"/>
      <c r="AN33" s="37"/>
      <c r="AO33" s="37"/>
      <c r="AP33" s="37"/>
      <c r="AQ33" s="37"/>
      <c r="AR33" s="37"/>
      <c r="AS33" s="39">
        <v>712</v>
      </c>
      <c r="AT33" s="39" t="s">
        <v>87</v>
      </c>
      <c r="AU33" s="39" t="s">
        <v>169</v>
      </c>
      <c r="AV33" s="70" t="s">
        <v>297</v>
      </c>
      <c r="AW33" s="39">
        <v>712</v>
      </c>
      <c r="AX33" s="39" t="s">
        <v>87</v>
      </c>
      <c r="AY33" s="39">
        <v>240189</v>
      </c>
      <c r="AZ33" s="37" t="s">
        <v>174</v>
      </c>
      <c r="BA33" s="37"/>
      <c r="BB33" s="37"/>
      <c r="BC33" s="37"/>
      <c r="BD33" s="37"/>
      <c r="BE33" s="37" t="s">
        <v>478</v>
      </c>
    </row>
    <row r="34" spans="1:57" s="18" customFormat="1" ht="102" customHeight="1" x14ac:dyDescent="0.25">
      <c r="A34" s="39" t="s">
        <v>69</v>
      </c>
      <c r="B34" s="37" t="s">
        <v>163</v>
      </c>
      <c r="C34" s="39" t="s">
        <v>71</v>
      </c>
      <c r="D34" s="39">
        <v>495</v>
      </c>
      <c r="E34" s="39" t="s">
        <v>72</v>
      </c>
      <c r="F34" s="39" t="s">
        <v>102</v>
      </c>
      <c r="G34" s="39" t="s">
        <v>103</v>
      </c>
      <c r="H34" s="37" t="s">
        <v>187</v>
      </c>
      <c r="I34" s="37" t="s">
        <v>188</v>
      </c>
      <c r="J34" s="37" t="s">
        <v>77</v>
      </c>
      <c r="K34" s="39" t="s">
        <v>78</v>
      </c>
      <c r="L34" s="39" t="s">
        <v>79</v>
      </c>
      <c r="M34" s="37" t="s">
        <v>329</v>
      </c>
      <c r="N34" s="68" t="s">
        <v>332</v>
      </c>
      <c r="O34" s="39" t="s">
        <v>82</v>
      </c>
      <c r="P34" s="39" t="s">
        <v>83</v>
      </c>
      <c r="Q34" s="40">
        <v>45838</v>
      </c>
      <c r="R34" s="37"/>
      <c r="S34" s="37"/>
      <c r="T34" s="37"/>
      <c r="U34" s="69"/>
      <c r="V34" s="39">
        <v>2025</v>
      </c>
      <c r="W34" s="39" t="s">
        <v>101</v>
      </c>
      <c r="X34" s="39" t="s">
        <v>135</v>
      </c>
      <c r="Y34" s="37"/>
      <c r="Z34" s="37"/>
      <c r="AA34" s="37"/>
      <c r="AB34" s="37"/>
      <c r="AC34" s="37"/>
      <c r="AD34" s="37"/>
      <c r="AE34" s="37"/>
      <c r="AF34" s="37"/>
      <c r="AG34" s="37"/>
      <c r="AH34" s="37"/>
      <c r="AI34" s="37"/>
      <c r="AJ34" s="37"/>
      <c r="AK34" s="37"/>
      <c r="AL34" s="37"/>
      <c r="AM34" s="37"/>
      <c r="AN34" s="37"/>
      <c r="AO34" s="37"/>
      <c r="AP34" s="37"/>
      <c r="AQ34" s="37"/>
      <c r="AR34" s="37"/>
      <c r="AS34" s="39">
        <v>712</v>
      </c>
      <c r="AT34" s="39" t="s">
        <v>87</v>
      </c>
      <c r="AU34" s="39" t="s">
        <v>169</v>
      </c>
      <c r="AV34" s="70" t="s">
        <v>297</v>
      </c>
      <c r="AW34" s="39">
        <v>712</v>
      </c>
      <c r="AX34" s="39" t="s">
        <v>87</v>
      </c>
      <c r="AY34" s="39">
        <v>240189</v>
      </c>
      <c r="AZ34" s="37" t="s">
        <v>174</v>
      </c>
      <c r="BA34" s="37"/>
      <c r="BB34" s="37"/>
      <c r="BC34" s="37"/>
      <c r="BD34" s="37"/>
      <c r="BE34" s="37" t="s">
        <v>478</v>
      </c>
    </row>
    <row r="35" spans="1:57" s="18" customFormat="1" ht="153" customHeight="1" x14ac:dyDescent="0.25">
      <c r="A35" s="19" t="s">
        <v>69</v>
      </c>
      <c r="B35" s="20" t="s">
        <v>189</v>
      </c>
      <c r="C35" s="19" t="s">
        <v>71</v>
      </c>
      <c r="D35" s="19">
        <v>496</v>
      </c>
      <c r="E35" s="19" t="s">
        <v>107</v>
      </c>
      <c r="F35" s="19" t="s">
        <v>108</v>
      </c>
      <c r="G35" s="19" t="s">
        <v>109</v>
      </c>
      <c r="H35" s="20" t="s">
        <v>190</v>
      </c>
      <c r="I35" s="47" t="s">
        <v>191</v>
      </c>
      <c r="J35" s="20" t="s">
        <v>77</v>
      </c>
      <c r="K35" s="19" t="s">
        <v>78</v>
      </c>
      <c r="L35" s="44" t="s">
        <v>79</v>
      </c>
      <c r="M35" s="44" t="s">
        <v>327</v>
      </c>
      <c r="N35" s="61" t="s">
        <v>333</v>
      </c>
      <c r="O35" s="41" t="s">
        <v>82</v>
      </c>
      <c r="P35" s="51" t="s">
        <v>83</v>
      </c>
      <c r="Q35" s="73">
        <v>45838</v>
      </c>
      <c r="R35" s="74">
        <v>1500</v>
      </c>
      <c r="S35" s="74">
        <v>2024</v>
      </c>
      <c r="T35" s="74" t="s">
        <v>84</v>
      </c>
      <c r="U35" s="75">
        <v>1000</v>
      </c>
      <c r="V35" s="19">
        <v>2025</v>
      </c>
      <c r="W35" s="19" t="s">
        <v>101</v>
      </c>
      <c r="X35" s="19" t="s">
        <v>135</v>
      </c>
      <c r="Y35" s="19">
        <v>294</v>
      </c>
      <c r="Z35" s="20" t="s">
        <v>419</v>
      </c>
      <c r="AA35" s="53" t="s">
        <v>420</v>
      </c>
      <c r="AB35" s="23">
        <v>678</v>
      </c>
      <c r="AC35" s="24" t="s">
        <v>421</v>
      </c>
      <c r="AD35" s="57" t="s">
        <v>420</v>
      </c>
      <c r="AE35" s="23">
        <v>1232</v>
      </c>
      <c r="AF35" s="23" t="s">
        <v>459</v>
      </c>
      <c r="AG35" s="23" t="s">
        <v>460</v>
      </c>
      <c r="AH35" s="84">
        <v>1232</v>
      </c>
      <c r="AI35" s="84" t="s">
        <v>459</v>
      </c>
      <c r="AJ35" s="84" t="s">
        <v>460</v>
      </c>
      <c r="AK35" s="86"/>
      <c r="AL35" s="86"/>
      <c r="AM35" s="86"/>
      <c r="AN35" s="86"/>
      <c r="AO35" s="86"/>
      <c r="AP35" s="86"/>
      <c r="AQ35" s="86"/>
      <c r="AR35" s="86"/>
      <c r="AS35" s="19">
        <v>712</v>
      </c>
      <c r="AT35" s="19" t="s">
        <v>87</v>
      </c>
      <c r="AU35" s="19" t="s">
        <v>192</v>
      </c>
      <c r="AV35" s="27" t="s">
        <v>298</v>
      </c>
      <c r="AW35" s="19">
        <v>712</v>
      </c>
      <c r="AX35" s="19" t="s">
        <v>87</v>
      </c>
      <c r="AY35" s="19">
        <v>240193</v>
      </c>
      <c r="AZ35" s="20" t="s">
        <v>193</v>
      </c>
      <c r="BA35" s="19">
        <v>1.03</v>
      </c>
      <c r="BB35" s="64">
        <v>4731154051</v>
      </c>
      <c r="BC35" s="64">
        <v>4714889186</v>
      </c>
      <c r="BD35" s="20" t="s">
        <v>477</v>
      </c>
      <c r="BE35" s="20"/>
    </row>
    <row r="36" spans="1:57" s="18" customFormat="1" ht="140.25" customHeight="1" x14ac:dyDescent="0.25">
      <c r="A36" s="19" t="s">
        <v>69</v>
      </c>
      <c r="B36" s="20" t="s">
        <v>189</v>
      </c>
      <c r="C36" s="19" t="s">
        <v>71</v>
      </c>
      <c r="D36" s="19">
        <v>497</v>
      </c>
      <c r="E36" s="19" t="s">
        <v>72</v>
      </c>
      <c r="F36" s="19" t="s">
        <v>90</v>
      </c>
      <c r="G36" s="19" t="s">
        <v>114</v>
      </c>
      <c r="H36" s="20" t="s">
        <v>194</v>
      </c>
      <c r="I36" s="47" t="s">
        <v>195</v>
      </c>
      <c r="J36" s="20" t="s">
        <v>196</v>
      </c>
      <c r="K36" s="19" t="s">
        <v>78</v>
      </c>
      <c r="L36" s="44" t="s">
        <v>309</v>
      </c>
      <c r="M36" s="44" t="s">
        <v>328</v>
      </c>
      <c r="N36" s="61" t="s">
        <v>333</v>
      </c>
      <c r="O36" s="41" t="s">
        <v>82</v>
      </c>
      <c r="P36" s="51" t="s">
        <v>83</v>
      </c>
      <c r="Q36" s="73">
        <v>45838</v>
      </c>
      <c r="R36" s="77">
        <v>210</v>
      </c>
      <c r="S36" s="77">
        <v>2024</v>
      </c>
      <c r="T36" s="77" t="s">
        <v>84</v>
      </c>
      <c r="U36" s="76">
        <v>210</v>
      </c>
      <c r="V36" s="51">
        <v>2025</v>
      </c>
      <c r="W36" s="51" t="s">
        <v>101</v>
      </c>
      <c r="X36" s="51" t="s">
        <v>135</v>
      </c>
      <c r="Y36" s="51">
        <v>44</v>
      </c>
      <c r="Z36" s="20" t="s">
        <v>422</v>
      </c>
      <c r="AA36" s="53" t="s">
        <v>402</v>
      </c>
      <c r="AB36" s="23">
        <v>82</v>
      </c>
      <c r="AC36" s="24" t="s">
        <v>423</v>
      </c>
      <c r="AD36" s="57" t="s">
        <v>402</v>
      </c>
      <c r="AE36" s="23">
        <v>168</v>
      </c>
      <c r="AF36" s="23" t="s">
        <v>479</v>
      </c>
      <c r="AG36" s="23" t="s">
        <v>461</v>
      </c>
      <c r="AH36" s="84">
        <v>168</v>
      </c>
      <c r="AI36" s="84" t="s">
        <v>479</v>
      </c>
      <c r="AJ36" s="84" t="s">
        <v>461</v>
      </c>
      <c r="AK36" s="86"/>
      <c r="AL36" s="86"/>
      <c r="AM36" s="86"/>
      <c r="AN36" s="86"/>
      <c r="AO36" s="86"/>
      <c r="AP36" s="86"/>
      <c r="AQ36" s="86"/>
      <c r="AR36" s="86"/>
      <c r="AS36" s="19">
        <v>712</v>
      </c>
      <c r="AT36" s="19" t="s">
        <v>87</v>
      </c>
      <c r="AU36" s="19" t="s">
        <v>192</v>
      </c>
      <c r="AV36" s="27" t="s">
        <v>298</v>
      </c>
      <c r="AW36" s="19">
        <v>712</v>
      </c>
      <c r="AX36" s="19" t="s">
        <v>87</v>
      </c>
      <c r="AY36" s="19">
        <v>240193</v>
      </c>
      <c r="AZ36" s="20" t="s">
        <v>193</v>
      </c>
      <c r="BA36" s="19">
        <v>1.03</v>
      </c>
      <c r="BB36" s="64">
        <v>4731154051</v>
      </c>
      <c r="BC36" s="64">
        <v>4714889186</v>
      </c>
      <c r="BD36" s="20" t="s">
        <v>477</v>
      </c>
      <c r="BE36" s="20"/>
    </row>
    <row r="37" spans="1:57" s="25" customFormat="1" ht="89.25" customHeight="1" x14ac:dyDescent="0.25">
      <c r="A37" s="39" t="s">
        <v>69</v>
      </c>
      <c r="B37" s="37"/>
      <c r="C37" s="39" t="s">
        <v>71</v>
      </c>
      <c r="D37" s="39">
        <v>498</v>
      </c>
      <c r="E37" s="39" t="s">
        <v>112</v>
      </c>
      <c r="F37" s="39" t="s">
        <v>197</v>
      </c>
      <c r="G37" s="39" t="s">
        <v>114</v>
      </c>
      <c r="H37" s="37" t="s">
        <v>198</v>
      </c>
      <c r="I37" s="37"/>
      <c r="J37" s="37" t="s">
        <v>199</v>
      </c>
      <c r="K37" s="39" t="s">
        <v>78</v>
      </c>
      <c r="L37" s="37"/>
      <c r="M37" s="37"/>
      <c r="N37" s="37"/>
      <c r="O37" s="39" t="s">
        <v>82</v>
      </c>
      <c r="P37" s="39" t="s">
        <v>83</v>
      </c>
      <c r="Q37" s="40">
        <v>45838</v>
      </c>
      <c r="R37" s="37"/>
      <c r="S37" s="37"/>
      <c r="T37" s="37"/>
      <c r="U37" s="39"/>
      <c r="V37" s="39"/>
      <c r="W37" s="39"/>
      <c r="X37" s="39"/>
      <c r="Y37" s="37"/>
      <c r="Z37" s="37"/>
      <c r="AA37" s="37"/>
      <c r="AB37" s="37"/>
      <c r="AC37" s="37"/>
      <c r="AD37" s="37"/>
      <c r="AE37" s="37"/>
      <c r="AF37" s="37"/>
      <c r="AG37" s="37"/>
      <c r="AH37" s="37"/>
      <c r="AI37" s="37"/>
      <c r="AJ37" s="37"/>
      <c r="AK37" s="37"/>
      <c r="AL37" s="37"/>
      <c r="AM37" s="37"/>
      <c r="AN37" s="37"/>
      <c r="AO37" s="37"/>
      <c r="AP37" s="37"/>
      <c r="AQ37" s="37"/>
      <c r="AR37" s="37"/>
      <c r="AS37" s="39">
        <v>712</v>
      </c>
      <c r="AT37" s="39" t="s">
        <v>87</v>
      </c>
      <c r="AU37" s="39"/>
      <c r="AV37" s="70" t="s">
        <v>298</v>
      </c>
      <c r="AW37" s="39">
        <v>712</v>
      </c>
      <c r="AX37" s="39" t="s">
        <v>87</v>
      </c>
      <c r="AY37" s="37"/>
      <c r="AZ37" s="37"/>
      <c r="BA37" s="37"/>
      <c r="BB37" s="37"/>
      <c r="BC37" s="37"/>
      <c r="BD37" s="37"/>
      <c r="BE37" s="37" t="s">
        <v>478</v>
      </c>
    </row>
    <row r="38" spans="1:57" s="18" customFormat="1" ht="409.5" customHeight="1" x14ac:dyDescent="0.25">
      <c r="A38" s="19" t="s">
        <v>69</v>
      </c>
      <c r="B38" s="20" t="s">
        <v>189</v>
      </c>
      <c r="C38" s="19" t="s">
        <v>71</v>
      </c>
      <c r="D38" s="19">
        <v>499</v>
      </c>
      <c r="E38" s="19" t="s">
        <v>72</v>
      </c>
      <c r="F38" s="19" t="s">
        <v>164</v>
      </c>
      <c r="G38" s="19" t="s">
        <v>123</v>
      </c>
      <c r="H38" s="20" t="s">
        <v>200</v>
      </c>
      <c r="I38" s="47" t="s">
        <v>201</v>
      </c>
      <c r="J38" s="20" t="s">
        <v>77</v>
      </c>
      <c r="K38" s="19" t="s">
        <v>78</v>
      </c>
      <c r="L38" s="44" t="s">
        <v>140</v>
      </c>
      <c r="M38" s="43" t="s">
        <v>318</v>
      </c>
      <c r="N38" s="61" t="s">
        <v>319</v>
      </c>
      <c r="O38" s="41" t="s">
        <v>82</v>
      </c>
      <c r="P38" s="51" t="s">
        <v>83</v>
      </c>
      <c r="Q38" s="73">
        <v>45838</v>
      </c>
      <c r="R38" s="74">
        <v>1</v>
      </c>
      <c r="S38" s="74">
        <v>2024</v>
      </c>
      <c r="T38" s="74" t="s">
        <v>424</v>
      </c>
      <c r="U38" s="21">
        <v>1</v>
      </c>
      <c r="V38" s="19">
        <v>2025</v>
      </c>
      <c r="W38" s="19" t="s">
        <v>101</v>
      </c>
      <c r="X38" s="19" t="s">
        <v>135</v>
      </c>
      <c r="Y38" s="79">
        <v>0.16919999999999999</v>
      </c>
      <c r="Z38" s="19" t="s">
        <v>425</v>
      </c>
      <c r="AA38" s="78" t="s">
        <v>401</v>
      </c>
      <c r="AB38" s="80">
        <v>0.30641000000000002</v>
      </c>
      <c r="AC38" s="23" t="s">
        <v>426</v>
      </c>
      <c r="AD38" s="81" t="s">
        <v>401</v>
      </c>
      <c r="AE38" s="23">
        <v>0.80730000000000002</v>
      </c>
      <c r="AF38" s="23" t="s">
        <v>480</v>
      </c>
      <c r="AG38" s="23" t="s">
        <v>461</v>
      </c>
      <c r="AH38" s="84">
        <v>1.03</v>
      </c>
      <c r="AI38" s="84" t="s">
        <v>502</v>
      </c>
      <c r="AJ38" s="84" t="s">
        <v>461</v>
      </c>
      <c r="AK38" s="83" t="s">
        <v>351</v>
      </c>
      <c r="AL38" s="83">
        <v>3005</v>
      </c>
      <c r="AM38" s="83" t="s">
        <v>352</v>
      </c>
      <c r="AN38" s="83">
        <v>3899</v>
      </c>
      <c r="AO38" s="83">
        <v>4248</v>
      </c>
      <c r="AP38" s="83">
        <v>603</v>
      </c>
      <c r="AQ38" s="83">
        <v>6852</v>
      </c>
      <c r="AR38" s="83" t="s">
        <v>481</v>
      </c>
      <c r="AS38" s="19">
        <v>712</v>
      </c>
      <c r="AT38" s="19" t="s">
        <v>87</v>
      </c>
      <c r="AU38" s="19" t="s">
        <v>192</v>
      </c>
      <c r="AV38" s="27" t="s">
        <v>298</v>
      </c>
      <c r="AW38" s="19">
        <v>712</v>
      </c>
      <c r="AX38" s="19" t="s">
        <v>87</v>
      </c>
      <c r="AY38" s="19">
        <v>240193</v>
      </c>
      <c r="AZ38" s="20" t="s">
        <v>193</v>
      </c>
      <c r="BA38" s="19">
        <v>1.03</v>
      </c>
      <c r="BB38" s="64">
        <v>4731154051</v>
      </c>
      <c r="BC38" s="64">
        <v>4714889186</v>
      </c>
      <c r="BD38" s="20" t="s">
        <v>477</v>
      </c>
      <c r="BE38" s="20"/>
    </row>
    <row r="39" spans="1:57" s="18" customFormat="1" ht="409.5" customHeight="1" x14ac:dyDescent="0.25">
      <c r="A39" s="19" t="s">
        <v>69</v>
      </c>
      <c r="B39" s="20" t="s">
        <v>189</v>
      </c>
      <c r="C39" s="19" t="s">
        <v>71</v>
      </c>
      <c r="D39" s="19">
        <v>499</v>
      </c>
      <c r="E39" s="19" t="s">
        <v>72</v>
      </c>
      <c r="F39" s="19" t="s">
        <v>164</v>
      </c>
      <c r="G39" s="19" t="s">
        <v>155</v>
      </c>
      <c r="H39" s="20" t="s">
        <v>202</v>
      </c>
      <c r="I39" s="46" t="s">
        <v>203</v>
      </c>
      <c r="J39" s="20" t="s">
        <v>77</v>
      </c>
      <c r="K39" s="19" t="s">
        <v>78</v>
      </c>
      <c r="L39" s="62" t="s">
        <v>204</v>
      </c>
      <c r="M39" s="61" t="s">
        <v>205</v>
      </c>
      <c r="N39" s="61" t="s">
        <v>206</v>
      </c>
      <c r="O39" s="41" t="s">
        <v>106</v>
      </c>
      <c r="P39" s="51" t="s">
        <v>83</v>
      </c>
      <c r="Q39" s="73">
        <v>45838</v>
      </c>
      <c r="R39" s="19">
        <v>35</v>
      </c>
      <c r="S39" s="19">
        <v>2023</v>
      </c>
      <c r="T39" s="19" t="s">
        <v>106</v>
      </c>
      <c r="U39" s="19">
        <v>60</v>
      </c>
      <c r="V39" s="19">
        <v>2025</v>
      </c>
      <c r="W39" s="19" t="s">
        <v>101</v>
      </c>
      <c r="X39" s="19" t="s">
        <v>86</v>
      </c>
      <c r="Y39" s="19">
        <v>48.44</v>
      </c>
      <c r="Z39" s="20" t="s">
        <v>427</v>
      </c>
      <c r="AA39" s="53" t="s">
        <v>400</v>
      </c>
      <c r="AB39" s="23">
        <v>50.21</v>
      </c>
      <c r="AC39" s="24" t="s">
        <v>428</v>
      </c>
      <c r="AD39" s="57" t="s">
        <v>400</v>
      </c>
      <c r="AE39" s="23">
        <v>56.37</v>
      </c>
      <c r="AF39" s="23" t="s">
        <v>462</v>
      </c>
      <c r="AG39" s="23" t="s">
        <v>463</v>
      </c>
      <c r="AH39" s="90">
        <v>0.6</v>
      </c>
      <c r="AI39" s="84" t="s">
        <v>503</v>
      </c>
      <c r="AJ39" s="84" t="s">
        <v>463</v>
      </c>
      <c r="AK39" s="86"/>
      <c r="AL39" s="86"/>
      <c r="AM39" s="86"/>
      <c r="AN39" s="86"/>
      <c r="AO39" s="86"/>
      <c r="AP39" s="86"/>
      <c r="AQ39" s="86"/>
      <c r="AR39" s="86"/>
      <c r="AS39" s="19">
        <v>712</v>
      </c>
      <c r="AT39" s="19" t="s">
        <v>87</v>
      </c>
      <c r="AU39" s="19" t="s">
        <v>192</v>
      </c>
      <c r="AV39" s="27" t="s">
        <v>298</v>
      </c>
      <c r="AW39" s="19">
        <v>712</v>
      </c>
      <c r="AX39" s="19" t="s">
        <v>87</v>
      </c>
      <c r="AY39" s="19">
        <v>240185</v>
      </c>
      <c r="AZ39" s="20" t="s">
        <v>193</v>
      </c>
      <c r="BA39" s="26">
        <v>0.6</v>
      </c>
      <c r="BB39" s="64">
        <v>876703525</v>
      </c>
      <c r="BC39" s="64">
        <v>625442972</v>
      </c>
      <c r="BD39" s="20" t="s">
        <v>477</v>
      </c>
      <c r="BE39" s="20"/>
    </row>
    <row r="40" spans="1:57" s="18" customFormat="1" ht="103.5" customHeight="1" x14ac:dyDescent="0.25">
      <c r="A40" s="19" t="s">
        <v>69</v>
      </c>
      <c r="B40" s="20" t="s">
        <v>189</v>
      </c>
      <c r="C40" s="19" t="s">
        <v>71</v>
      </c>
      <c r="D40" s="19">
        <v>501</v>
      </c>
      <c r="E40" s="19" t="s">
        <v>112</v>
      </c>
      <c r="F40" s="19" t="s">
        <v>154</v>
      </c>
      <c r="G40" s="19" t="s">
        <v>74</v>
      </c>
      <c r="H40" s="20" t="s">
        <v>207</v>
      </c>
      <c r="I40" s="48" t="s">
        <v>208</v>
      </c>
      <c r="J40" s="20" t="s">
        <v>209</v>
      </c>
      <c r="K40" s="19" t="s">
        <v>78</v>
      </c>
      <c r="L40" s="44" t="s">
        <v>79</v>
      </c>
      <c r="M40" s="44" t="s">
        <v>316</v>
      </c>
      <c r="N40" s="61" t="s">
        <v>317</v>
      </c>
      <c r="O40" s="41" t="s">
        <v>82</v>
      </c>
      <c r="P40" s="51" t="s">
        <v>83</v>
      </c>
      <c r="Q40" s="73">
        <v>45838</v>
      </c>
      <c r="R40" s="19">
        <v>1</v>
      </c>
      <c r="S40" s="19">
        <v>2023</v>
      </c>
      <c r="T40" s="19" t="s">
        <v>84</v>
      </c>
      <c r="U40" s="19">
        <v>1</v>
      </c>
      <c r="V40" s="19">
        <v>2025</v>
      </c>
      <c r="W40" s="19" t="s">
        <v>101</v>
      </c>
      <c r="X40" s="19" t="s">
        <v>135</v>
      </c>
      <c r="Y40" s="19">
        <v>2.1600000000000001E-2</v>
      </c>
      <c r="Z40" s="20" t="s">
        <v>429</v>
      </c>
      <c r="AA40" s="53" t="s">
        <v>430</v>
      </c>
      <c r="AB40" s="23">
        <v>7.2400000000000006E-2</v>
      </c>
      <c r="AC40" s="20" t="s">
        <v>431</v>
      </c>
      <c r="AD40" s="53" t="s">
        <v>430</v>
      </c>
      <c r="AE40" s="23">
        <v>1</v>
      </c>
      <c r="AF40" s="23" t="s">
        <v>465</v>
      </c>
      <c r="AG40" s="23" t="s">
        <v>464</v>
      </c>
      <c r="AH40" s="84">
        <v>1</v>
      </c>
      <c r="AI40" s="84" t="s">
        <v>465</v>
      </c>
      <c r="AJ40" s="84" t="s">
        <v>464</v>
      </c>
      <c r="AK40" s="86"/>
      <c r="AL40" s="86"/>
      <c r="AM40" s="86"/>
      <c r="AN40" s="86"/>
      <c r="AO40" s="86"/>
      <c r="AP40" s="86"/>
      <c r="AQ40" s="86"/>
      <c r="AR40" s="86"/>
      <c r="AS40" s="19">
        <v>712</v>
      </c>
      <c r="AT40" s="19" t="s">
        <v>87</v>
      </c>
      <c r="AU40" s="19" t="s">
        <v>192</v>
      </c>
      <c r="AV40" s="27" t="s">
        <v>298</v>
      </c>
      <c r="AW40" s="19">
        <v>712</v>
      </c>
      <c r="AX40" s="19" t="s">
        <v>87</v>
      </c>
      <c r="AY40" s="19">
        <v>240193</v>
      </c>
      <c r="AZ40" s="20" t="s">
        <v>193</v>
      </c>
      <c r="BA40" s="19">
        <v>1.03</v>
      </c>
      <c r="BB40" s="64">
        <v>4731154051</v>
      </c>
      <c r="BC40" s="64">
        <v>4714889186</v>
      </c>
      <c r="BD40" s="20" t="s">
        <v>477</v>
      </c>
      <c r="BE40" s="20"/>
    </row>
    <row r="41" spans="1:57" s="18" customFormat="1" ht="102" customHeight="1" x14ac:dyDescent="0.25">
      <c r="A41" s="39" t="s">
        <v>69</v>
      </c>
      <c r="B41" s="37"/>
      <c r="C41" s="37"/>
      <c r="D41" s="39">
        <v>502</v>
      </c>
      <c r="E41" s="39" t="s">
        <v>107</v>
      </c>
      <c r="F41" s="39" t="s">
        <v>108</v>
      </c>
      <c r="G41" s="39" t="s">
        <v>109</v>
      </c>
      <c r="H41" s="37" t="s">
        <v>210</v>
      </c>
      <c r="I41" s="37"/>
      <c r="J41" s="37" t="s">
        <v>211</v>
      </c>
      <c r="K41" s="39" t="s">
        <v>78</v>
      </c>
      <c r="L41" s="37"/>
      <c r="M41" s="37"/>
      <c r="N41" s="37"/>
      <c r="O41" s="39" t="s">
        <v>82</v>
      </c>
      <c r="P41" s="39" t="s">
        <v>83</v>
      </c>
      <c r="Q41" s="40">
        <v>45838</v>
      </c>
      <c r="R41" s="37"/>
      <c r="S41" s="37"/>
      <c r="T41" s="37"/>
      <c r="U41" s="39">
        <v>21</v>
      </c>
      <c r="V41" s="39">
        <v>2025</v>
      </c>
      <c r="W41" s="39"/>
      <c r="X41" s="39"/>
      <c r="Y41" s="37"/>
      <c r="Z41" s="37"/>
      <c r="AA41" s="37"/>
      <c r="AB41" s="37"/>
      <c r="AC41" s="37"/>
      <c r="AD41" s="37"/>
      <c r="AE41" s="37"/>
      <c r="AF41" s="37"/>
      <c r="AG41" s="37"/>
      <c r="AH41" s="37"/>
      <c r="AI41" s="37"/>
      <c r="AJ41" s="37"/>
      <c r="AK41" s="37"/>
      <c r="AL41" s="37"/>
      <c r="AM41" s="37"/>
      <c r="AN41" s="37"/>
      <c r="AO41" s="37"/>
      <c r="AP41" s="37"/>
      <c r="AQ41" s="37"/>
      <c r="AR41" s="37"/>
      <c r="AS41" s="39">
        <v>712</v>
      </c>
      <c r="AT41" s="39" t="s">
        <v>87</v>
      </c>
      <c r="AU41" s="39"/>
      <c r="AV41" s="70" t="s">
        <v>299</v>
      </c>
      <c r="AW41" s="39">
        <v>712</v>
      </c>
      <c r="AX41" s="39" t="s">
        <v>87</v>
      </c>
      <c r="AY41" s="37"/>
      <c r="AZ41" s="37"/>
      <c r="BA41" s="37"/>
      <c r="BB41" s="37"/>
      <c r="BC41" s="37"/>
      <c r="BD41" s="37"/>
      <c r="BE41" s="37" t="s">
        <v>478</v>
      </c>
    </row>
    <row r="42" spans="1:57" s="18" customFormat="1" ht="165.75" customHeight="1" x14ac:dyDescent="0.25">
      <c r="A42" s="19" t="s">
        <v>69</v>
      </c>
      <c r="B42" s="20" t="s">
        <v>189</v>
      </c>
      <c r="C42" s="19" t="s">
        <v>71</v>
      </c>
      <c r="D42" s="19">
        <v>503</v>
      </c>
      <c r="E42" s="19" t="s">
        <v>72</v>
      </c>
      <c r="F42" s="19" t="s">
        <v>129</v>
      </c>
      <c r="G42" s="19" t="s">
        <v>74</v>
      </c>
      <c r="H42" s="20" t="s">
        <v>410</v>
      </c>
      <c r="I42" s="46" t="s">
        <v>212</v>
      </c>
      <c r="J42" s="20" t="s">
        <v>211</v>
      </c>
      <c r="K42" s="19" t="s">
        <v>78</v>
      </c>
      <c r="L42" s="30" t="s">
        <v>79</v>
      </c>
      <c r="M42" s="29" t="s">
        <v>213</v>
      </c>
      <c r="N42" s="29" t="s">
        <v>214</v>
      </c>
      <c r="O42" s="19" t="s">
        <v>82</v>
      </c>
      <c r="P42" s="41" t="s">
        <v>83</v>
      </c>
      <c r="Q42" s="42">
        <v>45838</v>
      </c>
      <c r="R42" s="19">
        <v>21</v>
      </c>
      <c r="S42" s="19">
        <v>2023</v>
      </c>
      <c r="T42" s="19" t="s">
        <v>84</v>
      </c>
      <c r="U42" s="19">
        <v>21</v>
      </c>
      <c r="V42" s="19">
        <v>2025</v>
      </c>
      <c r="W42" s="19" t="s">
        <v>85</v>
      </c>
      <c r="X42" s="19" t="s">
        <v>135</v>
      </c>
      <c r="Y42" s="23">
        <v>21</v>
      </c>
      <c r="Z42" s="23" t="s">
        <v>383</v>
      </c>
      <c r="AA42" s="23" t="s">
        <v>336</v>
      </c>
      <c r="AB42" s="23">
        <v>21</v>
      </c>
      <c r="AC42" s="23" t="s">
        <v>383</v>
      </c>
      <c r="AD42" s="23" t="s">
        <v>380</v>
      </c>
      <c r="AE42" s="23">
        <v>21</v>
      </c>
      <c r="AF42" s="23" t="s">
        <v>383</v>
      </c>
      <c r="AG42" s="23" t="s">
        <v>380</v>
      </c>
      <c r="AH42" s="84">
        <v>21</v>
      </c>
      <c r="AI42" s="84" t="s">
        <v>494</v>
      </c>
      <c r="AJ42" s="84" t="s">
        <v>380</v>
      </c>
      <c r="AK42" s="83" t="s">
        <v>351</v>
      </c>
      <c r="AL42" s="83" t="s">
        <v>381</v>
      </c>
      <c r="AM42" s="83"/>
      <c r="AN42" s="83" t="s">
        <v>381</v>
      </c>
      <c r="AO42" s="83" t="s">
        <v>381</v>
      </c>
      <c r="AP42" s="83"/>
      <c r="AQ42" s="83" t="s">
        <v>381</v>
      </c>
      <c r="AR42" s="23" t="s">
        <v>382</v>
      </c>
      <c r="AS42" s="19">
        <v>712</v>
      </c>
      <c r="AT42" s="19" t="s">
        <v>87</v>
      </c>
      <c r="AU42" s="19" t="s">
        <v>215</v>
      </c>
      <c r="AV42" s="27" t="s">
        <v>299</v>
      </c>
      <c r="AW42" s="19">
        <v>712</v>
      </c>
      <c r="AX42" s="19" t="s">
        <v>87</v>
      </c>
      <c r="AY42" s="19">
        <v>240184</v>
      </c>
      <c r="AZ42" s="20" t="s">
        <v>216</v>
      </c>
      <c r="BA42" s="19">
        <v>21</v>
      </c>
      <c r="BB42" s="64">
        <v>6203713984</v>
      </c>
      <c r="BC42" s="64">
        <v>4746282982</v>
      </c>
      <c r="BD42" s="19" t="s">
        <v>477</v>
      </c>
      <c r="BE42" s="20"/>
    </row>
    <row r="43" spans="1:57" s="18" customFormat="1" ht="89.25" customHeight="1" x14ac:dyDescent="0.25">
      <c r="A43" s="35" t="s">
        <v>69</v>
      </c>
      <c r="B43" s="36" t="s">
        <v>189</v>
      </c>
      <c r="C43" s="35" t="s">
        <v>71</v>
      </c>
      <c r="D43" s="35">
        <v>504</v>
      </c>
      <c r="E43" s="35" t="s">
        <v>112</v>
      </c>
      <c r="F43" s="35" t="s">
        <v>154</v>
      </c>
      <c r="G43" s="35" t="s">
        <v>123</v>
      </c>
      <c r="H43" s="36" t="s">
        <v>217</v>
      </c>
      <c r="I43" s="36" t="s">
        <v>218</v>
      </c>
      <c r="J43" s="36" t="s">
        <v>77</v>
      </c>
      <c r="K43" s="35" t="s">
        <v>78</v>
      </c>
      <c r="L43" s="38" t="s">
        <v>309</v>
      </c>
      <c r="M43" s="36" t="s">
        <v>310</v>
      </c>
      <c r="N43" s="35" t="s">
        <v>315</v>
      </c>
      <c r="O43" s="35" t="s">
        <v>82</v>
      </c>
      <c r="P43" s="39" t="s">
        <v>83</v>
      </c>
      <c r="Q43" s="40">
        <v>45838</v>
      </c>
      <c r="R43" s="36"/>
      <c r="S43" s="36"/>
      <c r="T43" s="36"/>
      <c r="U43" s="35">
        <v>21</v>
      </c>
      <c r="V43" s="35">
        <v>2025</v>
      </c>
      <c r="W43" s="35"/>
      <c r="X43" s="35"/>
      <c r="Y43" s="36"/>
      <c r="Z43" s="36"/>
      <c r="AA43" s="36"/>
      <c r="AB43" s="36"/>
      <c r="AC43" s="36"/>
      <c r="AD43" s="36"/>
      <c r="AE43" s="36"/>
      <c r="AF43" s="36"/>
      <c r="AG43" s="36"/>
      <c r="AH43" s="36"/>
      <c r="AI43" s="36"/>
      <c r="AJ43" s="36"/>
      <c r="AK43" s="36"/>
      <c r="AL43" s="36"/>
      <c r="AM43" s="36"/>
      <c r="AN43" s="36"/>
      <c r="AO43" s="36"/>
      <c r="AP43" s="36"/>
      <c r="AQ43" s="36"/>
      <c r="AR43" s="36"/>
      <c r="AS43" s="35">
        <v>712</v>
      </c>
      <c r="AT43" s="35" t="s">
        <v>87</v>
      </c>
      <c r="AU43" s="35" t="s">
        <v>215</v>
      </c>
      <c r="AV43" s="27" t="s">
        <v>299</v>
      </c>
      <c r="AW43" s="35">
        <v>712</v>
      </c>
      <c r="AX43" s="35" t="s">
        <v>87</v>
      </c>
      <c r="AY43" s="35">
        <v>240184</v>
      </c>
      <c r="AZ43" s="36" t="s">
        <v>216</v>
      </c>
      <c r="BA43" s="36"/>
      <c r="BB43" s="36"/>
      <c r="BC43" s="36"/>
      <c r="BD43" s="36"/>
      <c r="BE43" s="37" t="s">
        <v>478</v>
      </c>
    </row>
    <row r="44" spans="1:57" s="18" customFormat="1" ht="153" customHeight="1" x14ac:dyDescent="0.25">
      <c r="A44" s="19" t="s">
        <v>69</v>
      </c>
      <c r="B44" s="20" t="s">
        <v>163</v>
      </c>
      <c r="C44" s="19" t="s">
        <v>71</v>
      </c>
      <c r="D44" s="19">
        <v>505</v>
      </c>
      <c r="E44" s="19" t="s">
        <v>72</v>
      </c>
      <c r="F44" s="19" t="s">
        <v>90</v>
      </c>
      <c r="G44" s="19" t="s">
        <v>109</v>
      </c>
      <c r="H44" s="20" t="s">
        <v>219</v>
      </c>
      <c r="I44" s="46" t="s">
        <v>220</v>
      </c>
      <c r="J44" s="20" t="s">
        <v>221</v>
      </c>
      <c r="K44" s="19" t="s">
        <v>78</v>
      </c>
      <c r="L44" s="30" t="s">
        <v>140</v>
      </c>
      <c r="M44" s="29" t="s">
        <v>222</v>
      </c>
      <c r="N44" s="29" t="s">
        <v>223</v>
      </c>
      <c r="O44" s="19" t="s">
        <v>82</v>
      </c>
      <c r="P44" s="41" t="s">
        <v>83</v>
      </c>
      <c r="Q44" s="42">
        <v>45838</v>
      </c>
      <c r="R44" s="19">
        <v>120</v>
      </c>
      <c r="S44" s="19">
        <v>2023</v>
      </c>
      <c r="T44" s="19" t="s">
        <v>84</v>
      </c>
      <c r="U44" s="19">
        <v>35</v>
      </c>
      <c r="V44" s="19">
        <v>2025</v>
      </c>
      <c r="W44" s="19" t="s">
        <v>101</v>
      </c>
      <c r="X44" s="19" t="s">
        <v>135</v>
      </c>
      <c r="Y44" s="23">
        <v>5.05</v>
      </c>
      <c r="Z44" s="24" t="s">
        <v>442</v>
      </c>
      <c r="AA44" s="24" t="s">
        <v>440</v>
      </c>
      <c r="AB44" s="23">
        <v>10.7</v>
      </c>
      <c r="AC44" s="24" t="s">
        <v>443</v>
      </c>
      <c r="AD44" s="24" t="s">
        <v>440</v>
      </c>
      <c r="AE44" s="23">
        <v>17.5</v>
      </c>
      <c r="AF44" s="23" t="s">
        <v>466</v>
      </c>
      <c r="AG44" s="23" t="s">
        <v>467</v>
      </c>
      <c r="AH44" s="84">
        <v>35</v>
      </c>
      <c r="AI44" s="84" t="s">
        <v>499</v>
      </c>
      <c r="AJ44" s="84" t="s">
        <v>469</v>
      </c>
      <c r="AK44" s="86"/>
      <c r="AL44" s="86"/>
      <c r="AM44" s="86"/>
      <c r="AN44" s="86"/>
      <c r="AO44" s="86"/>
      <c r="AP44" s="86"/>
      <c r="AQ44" s="86"/>
      <c r="AR44" s="83" t="s">
        <v>340</v>
      </c>
      <c r="AS44" s="19">
        <v>712</v>
      </c>
      <c r="AT44" s="19" t="s">
        <v>87</v>
      </c>
      <c r="AU44" s="19" t="s">
        <v>224</v>
      </c>
      <c r="AV44" s="27" t="s">
        <v>300</v>
      </c>
      <c r="AW44" s="19">
        <v>712</v>
      </c>
      <c r="AX44" s="19" t="s">
        <v>87</v>
      </c>
      <c r="AY44" s="19">
        <v>240187</v>
      </c>
      <c r="AZ44" s="20" t="s">
        <v>225</v>
      </c>
      <c r="BA44" s="19">
        <v>35</v>
      </c>
      <c r="BB44" s="64">
        <v>1721496837</v>
      </c>
      <c r="BC44" s="64">
        <v>1698604594</v>
      </c>
      <c r="BD44" s="20" t="s">
        <v>477</v>
      </c>
      <c r="BE44" s="20"/>
    </row>
    <row r="45" spans="1:57" s="18" customFormat="1" ht="76.5" customHeight="1" x14ac:dyDescent="0.25">
      <c r="A45" s="37" t="s">
        <v>69</v>
      </c>
      <c r="B45" s="37"/>
      <c r="C45" s="39" t="s">
        <v>71</v>
      </c>
      <c r="D45" s="39">
        <v>506</v>
      </c>
      <c r="E45" s="39" t="s">
        <v>72</v>
      </c>
      <c r="F45" s="39" t="s">
        <v>164</v>
      </c>
      <c r="G45" s="39" t="s">
        <v>123</v>
      </c>
      <c r="H45" s="37" t="s">
        <v>226</v>
      </c>
      <c r="I45" s="37" t="s">
        <v>220</v>
      </c>
      <c r="J45" s="37" t="s">
        <v>77</v>
      </c>
      <c r="K45" s="39" t="s">
        <v>78</v>
      </c>
      <c r="L45" s="37"/>
      <c r="M45" s="37"/>
      <c r="N45" s="37"/>
      <c r="O45" s="39" t="s">
        <v>82</v>
      </c>
      <c r="P45" s="39" t="s">
        <v>83</v>
      </c>
      <c r="Q45" s="40">
        <v>45838</v>
      </c>
      <c r="R45" s="37"/>
      <c r="S45" s="37"/>
      <c r="T45" s="37"/>
      <c r="U45" s="39"/>
      <c r="V45" s="39"/>
      <c r="W45" s="39"/>
      <c r="X45" s="39"/>
      <c r="Y45" s="37"/>
      <c r="Z45" s="37"/>
      <c r="AA45" s="37"/>
      <c r="AB45" s="37"/>
      <c r="AC45" s="37"/>
      <c r="AD45" s="37"/>
      <c r="AE45" s="37"/>
      <c r="AF45" s="37"/>
      <c r="AG45" s="37"/>
      <c r="AH45" s="37"/>
      <c r="AI45" s="37"/>
      <c r="AJ45" s="37"/>
      <c r="AK45" s="37"/>
      <c r="AL45" s="37"/>
      <c r="AM45" s="37"/>
      <c r="AN45" s="37"/>
      <c r="AO45" s="37"/>
      <c r="AP45" s="37"/>
      <c r="AQ45" s="37"/>
      <c r="AR45" s="37"/>
      <c r="AS45" s="39">
        <v>712</v>
      </c>
      <c r="AT45" s="39" t="s">
        <v>87</v>
      </c>
      <c r="AU45" s="39"/>
      <c r="AV45" s="70" t="s">
        <v>300</v>
      </c>
      <c r="AW45" s="39">
        <v>712</v>
      </c>
      <c r="AX45" s="39" t="s">
        <v>87</v>
      </c>
      <c r="AY45" s="37"/>
      <c r="AZ45" s="37"/>
      <c r="BA45" s="37"/>
      <c r="BB45" s="37"/>
      <c r="BC45" s="37"/>
      <c r="BD45" s="37"/>
      <c r="BE45" s="37" t="s">
        <v>478</v>
      </c>
    </row>
    <row r="46" spans="1:57" s="18" customFormat="1" ht="127.5" customHeight="1" x14ac:dyDescent="0.25">
      <c r="A46" s="19" t="s">
        <v>69</v>
      </c>
      <c r="B46" s="20" t="s">
        <v>163</v>
      </c>
      <c r="C46" s="19" t="s">
        <v>227</v>
      </c>
      <c r="D46" s="19">
        <v>507</v>
      </c>
      <c r="E46" s="19" t="s">
        <v>107</v>
      </c>
      <c r="F46" s="19" t="s">
        <v>108</v>
      </c>
      <c r="G46" s="19" t="s">
        <v>109</v>
      </c>
      <c r="H46" s="20" t="s">
        <v>228</v>
      </c>
      <c r="I46" s="46" t="s">
        <v>229</v>
      </c>
      <c r="J46" s="20" t="s">
        <v>230</v>
      </c>
      <c r="K46" s="19" t="s">
        <v>78</v>
      </c>
      <c r="L46" s="30" t="s">
        <v>231</v>
      </c>
      <c r="M46" s="29" t="s">
        <v>232</v>
      </c>
      <c r="N46" s="29" t="s">
        <v>233</v>
      </c>
      <c r="O46" s="19" t="s">
        <v>82</v>
      </c>
      <c r="P46" s="41" t="s">
        <v>83</v>
      </c>
      <c r="Q46" s="42">
        <v>45838</v>
      </c>
      <c r="R46" s="22">
        <v>1228</v>
      </c>
      <c r="S46" s="19">
        <v>2023</v>
      </c>
      <c r="T46" s="19" t="s">
        <v>84</v>
      </c>
      <c r="U46" s="19">
        <v>437</v>
      </c>
      <c r="V46" s="19">
        <v>2025</v>
      </c>
      <c r="W46" s="19" t="s">
        <v>101</v>
      </c>
      <c r="X46" s="19" t="s">
        <v>135</v>
      </c>
      <c r="Y46" s="23">
        <v>47</v>
      </c>
      <c r="Z46" s="24"/>
      <c r="AA46" s="24" t="s">
        <v>440</v>
      </c>
      <c r="AB46" s="23">
        <v>134</v>
      </c>
      <c r="AC46" s="24" t="s">
        <v>439</v>
      </c>
      <c r="AD46" s="24" t="s">
        <v>440</v>
      </c>
      <c r="AE46" s="23">
        <v>271</v>
      </c>
      <c r="AF46" s="24" t="s">
        <v>468</v>
      </c>
      <c r="AG46" s="23" t="s">
        <v>469</v>
      </c>
      <c r="AH46" s="84">
        <v>427</v>
      </c>
      <c r="AI46" s="84" t="s">
        <v>500</v>
      </c>
      <c r="AJ46" s="84" t="s">
        <v>469</v>
      </c>
      <c r="AK46" s="86"/>
      <c r="AL46" s="86"/>
      <c r="AM46" s="86"/>
      <c r="AN46" s="86"/>
      <c r="AO46" s="86"/>
      <c r="AP46" s="86"/>
      <c r="AQ46" s="86"/>
      <c r="AR46" s="86"/>
      <c r="AS46" s="19">
        <v>712</v>
      </c>
      <c r="AT46" s="19" t="s">
        <v>87</v>
      </c>
      <c r="AU46" s="19" t="s">
        <v>224</v>
      </c>
      <c r="AV46" s="27" t="s">
        <v>300</v>
      </c>
      <c r="AW46" s="19">
        <v>712</v>
      </c>
      <c r="AX46" s="19" t="s">
        <v>87</v>
      </c>
      <c r="AY46" s="19">
        <v>240187</v>
      </c>
      <c r="AZ46" s="20" t="s">
        <v>225</v>
      </c>
      <c r="BA46" s="19">
        <v>437</v>
      </c>
      <c r="BB46" s="64">
        <v>1721496837</v>
      </c>
      <c r="BC46" s="64">
        <v>1698604594</v>
      </c>
      <c r="BD46" s="20" t="s">
        <v>477</v>
      </c>
      <c r="BE46" s="20"/>
    </row>
    <row r="47" spans="1:57" s="18" customFormat="1" ht="102" customHeight="1" x14ac:dyDescent="0.25">
      <c r="A47" s="19" t="s">
        <v>69</v>
      </c>
      <c r="B47" s="20" t="s">
        <v>163</v>
      </c>
      <c r="C47" s="19" t="s">
        <v>71</v>
      </c>
      <c r="D47" s="19">
        <v>508</v>
      </c>
      <c r="E47" s="19" t="s">
        <v>112</v>
      </c>
      <c r="F47" s="19" t="s">
        <v>167</v>
      </c>
      <c r="G47" s="19" t="s">
        <v>109</v>
      </c>
      <c r="H47" s="67" t="s">
        <v>234</v>
      </c>
      <c r="I47" s="48" t="s">
        <v>235</v>
      </c>
      <c r="J47" s="20" t="s">
        <v>236</v>
      </c>
      <c r="K47" s="19" t="s">
        <v>78</v>
      </c>
      <c r="L47" s="30" t="s">
        <v>79</v>
      </c>
      <c r="M47" s="29" t="s">
        <v>237</v>
      </c>
      <c r="N47" s="29" t="s">
        <v>411</v>
      </c>
      <c r="O47" s="19" t="s">
        <v>82</v>
      </c>
      <c r="P47" s="41" t="s">
        <v>83</v>
      </c>
      <c r="Q47" s="42">
        <v>45838</v>
      </c>
      <c r="R47" s="19" t="s">
        <v>128</v>
      </c>
      <c r="S47" s="19">
        <v>2023</v>
      </c>
      <c r="T47" s="19" t="s">
        <v>84</v>
      </c>
      <c r="U47" s="19">
        <v>6</v>
      </c>
      <c r="V47" s="19">
        <v>2025</v>
      </c>
      <c r="W47" s="19" t="s">
        <v>101</v>
      </c>
      <c r="X47" s="19" t="s">
        <v>238</v>
      </c>
      <c r="Y47" s="23">
        <v>0</v>
      </c>
      <c r="Z47" s="23" t="s">
        <v>243</v>
      </c>
      <c r="AA47" s="24" t="s">
        <v>441</v>
      </c>
      <c r="AB47" s="23">
        <v>0</v>
      </c>
      <c r="AC47" s="24" t="s">
        <v>441</v>
      </c>
      <c r="AD47" s="23" t="s">
        <v>243</v>
      </c>
      <c r="AE47" s="23">
        <v>0</v>
      </c>
      <c r="AF47" s="24" t="s">
        <v>441</v>
      </c>
      <c r="AG47" s="23" t="s">
        <v>243</v>
      </c>
      <c r="AH47" s="84">
        <v>6</v>
      </c>
      <c r="AI47" s="84" t="s">
        <v>501</v>
      </c>
      <c r="AJ47" s="84" t="s">
        <v>469</v>
      </c>
      <c r="AK47" s="86"/>
      <c r="AL47" s="86"/>
      <c r="AM47" s="86"/>
      <c r="AN47" s="86"/>
      <c r="AO47" s="86"/>
      <c r="AP47" s="86"/>
      <c r="AQ47" s="86"/>
      <c r="AR47" s="86"/>
      <c r="AS47" s="19">
        <v>712</v>
      </c>
      <c r="AT47" s="19" t="s">
        <v>87</v>
      </c>
      <c r="AU47" s="19" t="s">
        <v>224</v>
      </c>
      <c r="AV47" s="27" t="s">
        <v>300</v>
      </c>
      <c r="AW47" s="19">
        <v>712</v>
      </c>
      <c r="AX47" s="19" t="s">
        <v>87</v>
      </c>
      <c r="AY47" s="19">
        <v>240187</v>
      </c>
      <c r="AZ47" s="20" t="s">
        <v>225</v>
      </c>
      <c r="BA47" s="19">
        <v>6</v>
      </c>
      <c r="BB47" s="64">
        <v>1721496837</v>
      </c>
      <c r="BC47" s="64">
        <v>1698604594</v>
      </c>
      <c r="BD47" s="20" t="s">
        <v>477</v>
      </c>
      <c r="BE47" s="20"/>
    </row>
    <row r="48" spans="1:57" s="18" customFormat="1" ht="102" customHeight="1" x14ac:dyDescent="0.25">
      <c r="A48" s="39" t="s">
        <v>69</v>
      </c>
      <c r="B48" s="37" t="s">
        <v>163</v>
      </c>
      <c r="C48" s="39" t="s">
        <v>71</v>
      </c>
      <c r="D48" s="39">
        <v>509</v>
      </c>
      <c r="E48" s="39" t="s">
        <v>107</v>
      </c>
      <c r="F48" s="39" t="s">
        <v>239</v>
      </c>
      <c r="G48" s="39" t="s">
        <v>123</v>
      </c>
      <c r="H48" s="37" t="s">
        <v>240</v>
      </c>
      <c r="I48" s="37" t="s">
        <v>241</v>
      </c>
      <c r="J48" s="20" t="s">
        <v>242</v>
      </c>
      <c r="K48" s="19" t="s">
        <v>78</v>
      </c>
      <c r="L48" s="30" t="s">
        <v>79</v>
      </c>
      <c r="M48" s="30" t="s">
        <v>311</v>
      </c>
      <c r="N48" s="29" t="s">
        <v>411</v>
      </c>
      <c r="O48" s="19" t="s">
        <v>82</v>
      </c>
      <c r="P48" s="41" t="s">
        <v>83</v>
      </c>
      <c r="Q48" s="42">
        <v>45838</v>
      </c>
      <c r="R48" s="19" t="s">
        <v>243</v>
      </c>
      <c r="S48" s="19">
        <v>2023</v>
      </c>
      <c r="T48" s="19" t="s">
        <v>84</v>
      </c>
      <c r="U48" s="19">
        <v>2</v>
      </c>
      <c r="V48" s="19">
        <v>2025</v>
      </c>
      <c r="W48" s="19" t="s">
        <v>101</v>
      </c>
      <c r="X48" s="19" t="s">
        <v>135</v>
      </c>
      <c r="Y48" s="23">
        <v>0</v>
      </c>
      <c r="Z48" s="23" t="s">
        <v>243</v>
      </c>
      <c r="AA48" s="24" t="s">
        <v>441</v>
      </c>
      <c r="AB48" s="23">
        <v>0</v>
      </c>
      <c r="AC48" s="23" t="s">
        <v>243</v>
      </c>
      <c r="AD48" s="24" t="s">
        <v>441</v>
      </c>
      <c r="AE48" s="37"/>
      <c r="AF48" s="37"/>
      <c r="AG48" s="37"/>
      <c r="AH48" s="37"/>
      <c r="AI48" s="37"/>
      <c r="AJ48" s="37"/>
      <c r="AK48" s="37"/>
      <c r="AL48" s="37"/>
      <c r="AM48" s="37"/>
      <c r="AN48" s="37"/>
      <c r="AO48" s="37"/>
      <c r="AP48" s="37"/>
      <c r="AQ48" s="37"/>
      <c r="AR48" s="37"/>
      <c r="AS48" s="19">
        <v>712</v>
      </c>
      <c r="AT48" s="19" t="s">
        <v>87</v>
      </c>
      <c r="AU48" s="19" t="s">
        <v>224</v>
      </c>
      <c r="AV48" s="39" t="s">
        <v>300</v>
      </c>
      <c r="AW48" s="19">
        <v>712</v>
      </c>
      <c r="AX48" s="19" t="s">
        <v>87</v>
      </c>
      <c r="AY48" s="19">
        <v>240187</v>
      </c>
      <c r="AZ48" s="20" t="s">
        <v>225</v>
      </c>
      <c r="BA48" s="19">
        <v>437</v>
      </c>
      <c r="BB48" s="64">
        <v>1721496837</v>
      </c>
      <c r="BC48" s="64">
        <v>1698604594</v>
      </c>
      <c r="BD48" s="20" t="s">
        <v>477</v>
      </c>
      <c r="BE48" s="37" t="s">
        <v>478</v>
      </c>
    </row>
    <row r="49" spans="1:57" s="18" customFormat="1" ht="189" customHeight="1" x14ac:dyDescent="0.25">
      <c r="A49" s="19" t="s">
        <v>69</v>
      </c>
      <c r="B49" s="20" t="s">
        <v>163</v>
      </c>
      <c r="C49" s="19" t="s">
        <v>71</v>
      </c>
      <c r="D49" s="19">
        <v>510</v>
      </c>
      <c r="E49" s="19" t="s">
        <v>72</v>
      </c>
      <c r="F49" s="19" t="s">
        <v>73</v>
      </c>
      <c r="G49" s="19" t="s">
        <v>74</v>
      </c>
      <c r="H49" s="20" t="s">
        <v>244</v>
      </c>
      <c r="I49" s="48" t="s">
        <v>245</v>
      </c>
      <c r="J49" s="20" t="s">
        <v>77</v>
      </c>
      <c r="K49" s="19" t="s">
        <v>78</v>
      </c>
      <c r="L49" s="30" t="s">
        <v>79</v>
      </c>
      <c r="M49" s="29" t="s">
        <v>246</v>
      </c>
      <c r="N49" s="29" t="s">
        <v>247</v>
      </c>
      <c r="O49" s="41" t="s">
        <v>106</v>
      </c>
      <c r="P49" s="41" t="s">
        <v>83</v>
      </c>
      <c r="Q49" s="42">
        <v>45838</v>
      </c>
      <c r="R49" s="19" t="s">
        <v>243</v>
      </c>
      <c r="S49" s="19">
        <v>2023</v>
      </c>
      <c r="T49" s="19" t="s">
        <v>106</v>
      </c>
      <c r="U49" s="26">
        <v>0.45</v>
      </c>
      <c r="V49" s="19">
        <v>2025</v>
      </c>
      <c r="W49" s="19" t="s">
        <v>101</v>
      </c>
      <c r="X49" s="19" t="s">
        <v>86</v>
      </c>
      <c r="Y49" s="23">
        <v>12.38</v>
      </c>
      <c r="Z49" s="23" t="s">
        <v>335</v>
      </c>
      <c r="AA49" s="23" t="s">
        <v>336</v>
      </c>
      <c r="AB49" s="23">
        <v>7.13</v>
      </c>
      <c r="AC49" s="23" t="s">
        <v>337</v>
      </c>
      <c r="AD49" s="23" t="s">
        <v>336</v>
      </c>
      <c r="AE49" s="23">
        <v>31.74</v>
      </c>
      <c r="AF49" s="23" t="s">
        <v>470</v>
      </c>
      <c r="AG49" s="23" t="s">
        <v>336</v>
      </c>
      <c r="AH49" s="90">
        <v>0.45</v>
      </c>
      <c r="AI49" s="84" t="s">
        <v>517</v>
      </c>
      <c r="AJ49" s="84" t="s">
        <v>336</v>
      </c>
      <c r="AK49" s="86"/>
      <c r="AL49" s="86"/>
      <c r="AM49" s="86"/>
      <c r="AN49" s="83"/>
      <c r="AO49" s="83"/>
      <c r="AP49" s="83"/>
      <c r="AQ49" s="83"/>
      <c r="AR49" s="86"/>
      <c r="AS49" s="19">
        <v>712</v>
      </c>
      <c r="AT49" s="19" t="s">
        <v>87</v>
      </c>
      <c r="AU49" s="19" t="s">
        <v>248</v>
      </c>
      <c r="AV49" s="27" t="s">
        <v>301</v>
      </c>
      <c r="AW49" s="19">
        <v>712</v>
      </c>
      <c r="AX49" s="19" t="s">
        <v>87</v>
      </c>
      <c r="AY49" s="19">
        <v>240190</v>
      </c>
      <c r="AZ49" s="20" t="s">
        <v>249</v>
      </c>
      <c r="BA49" s="26">
        <v>0.45</v>
      </c>
      <c r="BB49" s="64">
        <v>729213665</v>
      </c>
      <c r="BC49" s="64">
        <v>729213665</v>
      </c>
      <c r="BD49" s="20" t="s">
        <v>477</v>
      </c>
      <c r="BE49" s="20"/>
    </row>
    <row r="50" spans="1:57" s="18" customFormat="1" ht="114.75" customHeight="1" x14ac:dyDescent="0.25">
      <c r="A50" s="39" t="s">
        <v>69</v>
      </c>
      <c r="B50" s="37" t="s">
        <v>163</v>
      </c>
      <c r="C50" s="39" t="s">
        <v>71</v>
      </c>
      <c r="D50" s="39">
        <v>511</v>
      </c>
      <c r="E50" s="39" t="s">
        <v>72</v>
      </c>
      <c r="F50" s="39" t="s">
        <v>73</v>
      </c>
      <c r="G50" s="39" t="s">
        <v>74</v>
      </c>
      <c r="H50" s="37" t="s">
        <v>250</v>
      </c>
      <c r="I50" s="37" t="s">
        <v>412</v>
      </c>
      <c r="J50" s="37" t="s">
        <v>77</v>
      </c>
      <c r="K50" s="39" t="s">
        <v>78</v>
      </c>
      <c r="L50" s="71" t="s">
        <v>79</v>
      </c>
      <c r="M50" s="71" t="s">
        <v>413</v>
      </c>
      <c r="N50" s="39" t="s">
        <v>306</v>
      </c>
      <c r="O50" s="39" t="s">
        <v>82</v>
      </c>
      <c r="P50" s="39" t="s">
        <v>83</v>
      </c>
      <c r="Q50" s="40">
        <v>45838</v>
      </c>
      <c r="R50" s="39" t="s">
        <v>243</v>
      </c>
      <c r="S50" s="39">
        <v>2023</v>
      </c>
      <c r="T50" s="39" t="s">
        <v>106</v>
      </c>
      <c r="U50" s="39"/>
      <c r="V50" s="39">
        <v>2025</v>
      </c>
      <c r="W50" s="39" t="s">
        <v>101</v>
      </c>
      <c r="X50" s="39" t="s">
        <v>86</v>
      </c>
      <c r="Y50" s="37"/>
      <c r="Z50" s="37"/>
      <c r="AA50" s="37"/>
      <c r="AB50" s="37"/>
      <c r="AC50" s="37"/>
      <c r="AD50" s="37"/>
      <c r="AE50" s="37"/>
      <c r="AF50" s="37"/>
      <c r="AG50" s="37"/>
      <c r="AH50" s="37"/>
      <c r="AI50" s="37"/>
      <c r="AJ50" s="37"/>
      <c r="AK50" s="37"/>
      <c r="AL50" s="37"/>
      <c r="AM50" s="37"/>
      <c r="AN50" s="39"/>
      <c r="AO50" s="39"/>
      <c r="AP50" s="39"/>
      <c r="AQ50" s="39"/>
      <c r="AR50" s="37"/>
      <c r="AS50" s="39">
        <v>712</v>
      </c>
      <c r="AT50" s="39" t="s">
        <v>87</v>
      </c>
      <c r="AU50" s="39" t="s">
        <v>248</v>
      </c>
      <c r="AV50" s="70" t="s">
        <v>301</v>
      </c>
      <c r="AW50" s="39">
        <v>712</v>
      </c>
      <c r="AX50" s="39" t="s">
        <v>87</v>
      </c>
      <c r="AY50" s="39">
        <v>240190</v>
      </c>
      <c r="AZ50" s="37" t="s">
        <v>249</v>
      </c>
      <c r="BA50" s="37"/>
      <c r="BB50" s="37"/>
      <c r="BC50" s="37"/>
      <c r="BD50" s="37"/>
      <c r="BE50" s="37" t="s">
        <v>478</v>
      </c>
    </row>
    <row r="51" spans="1:57" s="18" customFormat="1" ht="140.25" customHeight="1" x14ac:dyDescent="0.25">
      <c r="A51" s="19" t="s">
        <v>69</v>
      </c>
      <c r="B51" s="20" t="s">
        <v>163</v>
      </c>
      <c r="C51" s="19" t="s">
        <v>71</v>
      </c>
      <c r="D51" s="19">
        <v>512</v>
      </c>
      <c r="E51" s="19" t="s">
        <v>72</v>
      </c>
      <c r="F51" s="19" t="s">
        <v>73</v>
      </c>
      <c r="G51" s="19" t="s">
        <v>114</v>
      </c>
      <c r="H51" s="20" t="s">
        <v>251</v>
      </c>
      <c r="I51" s="48" t="s">
        <v>252</v>
      </c>
      <c r="J51" s="20" t="s">
        <v>77</v>
      </c>
      <c r="K51" s="19" t="s">
        <v>78</v>
      </c>
      <c r="L51" s="30" t="s">
        <v>79</v>
      </c>
      <c r="M51" s="29" t="s">
        <v>253</v>
      </c>
      <c r="N51" s="29" t="s">
        <v>247</v>
      </c>
      <c r="O51" s="41" t="s">
        <v>100</v>
      </c>
      <c r="P51" s="41" t="s">
        <v>83</v>
      </c>
      <c r="Q51" s="42">
        <v>45838</v>
      </c>
      <c r="R51" s="19" t="s">
        <v>243</v>
      </c>
      <c r="S51" s="19">
        <v>2023</v>
      </c>
      <c r="T51" s="19" t="s">
        <v>106</v>
      </c>
      <c r="U51" s="26">
        <v>0.1</v>
      </c>
      <c r="V51" s="19">
        <v>2025</v>
      </c>
      <c r="W51" s="19" t="s">
        <v>101</v>
      </c>
      <c r="X51" s="19" t="s">
        <v>86</v>
      </c>
      <c r="Y51" s="23">
        <v>0.6</v>
      </c>
      <c r="Z51" s="23" t="s">
        <v>414</v>
      </c>
      <c r="AA51" s="23" t="s">
        <v>336</v>
      </c>
      <c r="AB51" s="23">
        <v>2.82</v>
      </c>
      <c r="AC51" s="23" t="s">
        <v>415</v>
      </c>
      <c r="AD51" s="23" t="s">
        <v>336</v>
      </c>
      <c r="AE51" s="23"/>
      <c r="AF51" s="23"/>
      <c r="AG51" s="23"/>
      <c r="AH51" s="90">
        <v>0.08</v>
      </c>
      <c r="AI51" s="84" t="s">
        <v>514</v>
      </c>
      <c r="AJ51" s="84" t="s">
        <v>336</v>
      </c>
      <c r="AK51" s="86"/>
      <c r="AL51" s="86"/>
      <c r="AM51" s="86"/>
      <c r="AN51" s="83"/>
      <c r="AO51" s="83"/>
      <c r="AP51" s="83"/>
      <c r="AQ51" s="83"/>
      <c r="AR51" s="86"/>
      <c r="AS51" s="19">
        <v>712</v>
      </c>
      <c r="AT51" s="19" t="s">
        <v>87</v>
      </c>
      <c r="AU51" s="19" t="s">
        <v>248</v>
      </c>
      <c r="AV51" s="27" t="s">
        <v>301</v>
      </c>
      <c r="AW51" s="19">
        <v>712</v>
      </c>
      <c r="AX51" s="19" t="s">
        <v>87</v>
      </c>
      <c r="AY51" s="19">
        <v>240190</v>
      </c>
      <c r="AZ51" s="20" t="s">
        <v>249</v>
      </c>
      <c r="BA51" s="26">
        <v>0.45</v>
      </c>
      <c r="BB51" s="64">
        <v>729213665</v>
      </c>
      <c r="BC51" s="64">
        <v>729213665</v>
      </c>
      <c r="BD51" s="20" t="s">
        <v>477</v>
      </c>
      <c r="BE51" s="20"/>
    </row>
    <row r="52" spans="1:57" s="18" customFormat="1" ht="102" customHeight="1" x14ac:dyDescent="0.25">
      <c r="A52" s="23" t="s">
        <v>69</v>
      </c>
      <c r="B52" s="20" t="s">
        <v>163</v>
      </c>
      <c r="C52" s="19" t="s">
        <v>71</v>
      </c>
      <c r="D52" s="23">
        <v>513</v>
      </c>
      <c r="E52" s="23" t="s">
        <v>107</v>
      </c>
      <c r="F52" s="23" t="s">
        <v>108</v>
      </c>
      <c r="G52" s="23" t="s">
        <v>74</v>
      </c>
      <c r="H52" s="24" t="s">
        <v>254</v>
      </c>
      <c r="I52" s="48" t="s">
        <v>255</v>
      </c>
      <c r="J52" s="24" t="s">
        <v>256</v>
      </c>
      <c r="K52" s="23" t="s">
        <v>78</v>
      </c>
      <c r="L52" s="30" t="s">
        <v>307</v>
      </c>
      <c r="M52" s="30" t="s">
        <v>312</v>
      </c>
      <c r="N52" s="23" t="s">
        <v>306</v>
      </c>
      <c r="O52" s="19" t="s">
        <v>82</v>
      </c>
      <c r="P52" s="44" t="s">
        <v>83</v>
      </c>
      <c r="Q52" s="45">
        <v>45838</v>
      </c>
      <c r="R52" s="23">
        <v>1</v>
      </c>
      <c r="S52" s="23">
        <v>2024</v>
      </c>
      <c r="T52" s="23" t="s">
        <v>82</v>
      </c>
      <c r="U52" s="19">
        <v>1</v>
      </c>
      <c r="V52" s="19">
        <v>2025</v>
      </c>
      <c r="W52" s="19" t="s">
        <v>101</v>
      </c>
      <c r="X52" s="19" t="s">
        <v>135</v>
      </c>
      <c r="Y52" s="23">
        <v>0.253</v>
      </c>
      <c r="Z52" s="23" t="s">
        <v>338</v>
      </c>
      <c r="AA52" s="23" t="s">
        <v>336</v>
      </c>
      <c r="AB52" s="23">
        <v>0.23599999999999999</v>
      </c>
      <c r="AC52" s="23" t="s">
        <v>338</v>
      </c>
      <c r="AD52" s="23" t="s">
        <v>336</v>
      </c>
      <c r="AE52" s="23"/>
      <c r="AF52" s="23"/>
      <c r="AG52" s="23"/>
      <c r="AH52" s="90">
        <v>1</v>
      </c>
      <c r="AI52" s="84" t="s">
        <v>515</v>
      </c>
      <c r="AJ52" s="84" t="s">
        <v>336</v>
      </c>
      <c r="AK52" s="86"/>
      <c r="AL52" s="86"/>
      <c r="AM52" s="86"/>
      <c r="AN52" s="83"/>
      <c r="AO52" s="83"/>
      <c r="AP52" s="83"/>
      <c r="AQ52" s="83"/>
      <c r="AR52" s="86"/>
      <c r="AS52" s="23">
        <v>712</v>
      </c>
      <c r="AT52" s="23" t="s">
        <v>87</v>
      </c>
      <c r="AU52" s="19" t="s">
        <v>248</v>
      </c>
      <c r="AV52" s="27" t="s">
        <v>301</v>
      </c>
      <c r="AW52" s="23">
        <v>712</v>
      </c>
      <c r="AX52" s="23" t="s">
        <v>87</v>
      </c>
      <c r="AY52" s="23">
        <v>240190</v>
      </c>
      <c r="AZ52" s="24" t="s">
        <v>249</v>
      </c>
      <c r="BA52" s="26">
        <v>0.45</v>
      </c>
      <c r="BB52" s="64">
        <v>729213665</v>
      </c>
      <c r="BC52" s="64">
        <v>729213665</v>
      </c>
      <c r="BD52" s="20" t="s">
        <v>477</v>
      </c>
      <c r="BE52" s="24"/>
    </row>
    <row r="53" spans="1:57" s="18" customFormat="1" ht="102" customHeight="1" x14ac:dyDescent="0.25">
      <c r="A53" s="19" t="s">
        <v>69</v>
      </c>
      <c r="B53" s="20" t="s">
        <v>163</v>
      </c>
      <c r="C53" s="19" t="s">
        <v>71</v>
      </c>
      <c r="D53" s="19">
        <v>514</v>
      </c>
      <c r="E53" s="19" t="s">
        <v>107</v>
      </c>
      <c r="F53" s="19" t="s">
        <v>108</v>
      </c>
      <c r="G53" s="19" t="s">
        <v>109</v>
      </c>
      <c r="H53" s="20" t="s">
        <v>257</v>
      </c>
      <c r="I53" s="47" t="s">
        <v>258</v>
      </c>
      <c r="J53" s="20" t="s">
        <v>256</v>
      </c>
      <c r="K53" s="19" t="s">
        <v>78</v>
      </c>
      <c r="L53" s="30" t="s">
        <v>79</v>
      </c>
      <c r="M53" s="30" t="s">
        <v>308</v>
      </c>
      <c r="N53" s="23" t="s">
        <v>306</v>
      </c>
      <c r="O53" s="19" t="s">
        <v>82</v>
      </c>
      <c r="P53" s="41" t="s">
        <v>83</v>
      </c>
      <c r="Q53" s="42">
        <v>45838</v>
      </c>
      <c r="R53" s="23">
        <v>1</v>
      </c>
      <c r="S53" s="23">
        <v>2024</v>
      </c>
      <c r="T53" s="23" t="s">
        <v>82</v>
      </c>
      <c r="U53" s="19">
        <v>1</v>
      </c>
      <c r="V53" s="19">
        <v>2025</v>
      </c>
      <c r="W53" s="19" t="s">
        <v>101</v>
      </c>
      <c r="X53" s="19" t="s">
        <v>135</v>
      </c>
      <c r="Y53" s="23">
        <v>0</v>
      </c>
      <c r="Z53" s="23" t="s">
        <v>339</v>
      </c>
      <c r="AA53" s="23" t="s">
        <v>340</v>
      </c>
      <c r="AB53" s="23">
        <v>0</v>
      </c>
      <c r="AC53" s="23" t="s">
        <v>339</v>
      </c>
      <c r="AD53" s="23" t="s">
        <v>340</v>
      </c>
      <c r="AE53" s="23"/>
      <c r="AF53" s="23"/>
      <c r="AG53" s="23"/>
      <c r="AH53" s="90">
        <v>1</v>
      </c>
      <c r="AI53" s="84" t="s">
        <v>516</v>
      </c>
      <c r="AJ53" s="84" t="s">
        <v>336</v>
      </c>
      <c r="AK53" s="86"/>
      <c r="AL53" s="86"/>
      <c r="AM53" s="86"/>
      <c r="AN53" s="83"/>
      <c r="AO53" s="83"/>
      <c r="AP53" s="83"/>
      <c r="AQ53" s="83"/>
      <c r="AR53" s="86"/>
      <c r="AS53" s="19">
        <v>712</v>
      </c>
      <c r="AT53" s="19" t="s">
        <v>87</v>
      </c>
      <c r="AU53" s="19" t="s">
        <v>248</v>
      </c>
      <c r="AV53" s="27" t="s">
        <v>301</v>
      </c>
      <c r="AW53" s="19">
        <v>712</v>
      </c>
      <c r="AX53" s="19" t="s">
        <v>87</v>
      </c>
      <c r="AY53" s="19">
        <v>240190</v>
      </c>
      <c r="AZ53" s="20" t="s">
        <v>249</v>
      </c>
      <c r="BA53" s="26">
        <v>0.45</v>
      </c>
      <c r="BB53" s="64">
        <v>729213665</v>
      </c>
      <c r="BC53" s="64">
        <v>729213665</v>
      </c>
      <c r="BD53" s="20" t="s">
        <v>477</v>
      </c>
      <c r="BE53" s="20"/>
    </row>
    <row r="54" spans="1:57" s="18" customFormat="1" ht="102" customHeight="1" x14ac:dyDescent="0.25">
      <c r="A54" s="39" t="s">
        <v>69</v>
      </c>
      <c r="B54" s="37" t="s">
        <v>163</v>
      </c>
      <c r="C54" s="39" t="s">
        <v>71</v>
      </c>
      <c r="D54" s="39">
        <v>515</v>
      </c>
      <c r="E54" s="39" t="s">
        <v>107</v>
      </c>
      <c r="F54" s="39" t="s">
        <v>197</v>
      </c>
      <c r="G54" s="39" t="s">
        <v>74</v>
      </c>
      <c r="H54" s="37" t="s">
        <v>259</v>
      </c>
      <c r="I54" s="37" t="s">
        <v>416</v>
      </c>
      <c r="J54" s="37" t="s">
        <v>260</v>
      </c>
      <c r="K54" s="39" t="s">
        <v>78</v>
      </c>
      <c r="L54" s="71" t="s">
        <v>79</v>
      </c>
      <c r="M54" s="71" t="s">
        <v>417</v>
      </c>
      <c r="N54" s="39" t="s">
        <v>306</v>
      </c>
      <c r="O54" s="39" t="s">
        <v>82</v>
      </c>
      <c r="P54" s="39" t="s">
        <v>83</v>
      </c>
      <c r="Q54" s="40">
        <v>45838</v>
      </c>
      <c r="R54" s="37"/>
      <c r="S54" s="37"/>
      <c r="T54" s="37"/>
      <c r="U54" s="39"/>
      <c r="V54" s="39">
        <v>2025</v>
      </c>
      <c r="W54" s="39" t="s">
        <v>101</v>
      </c>
      <c r="X54" s="39" t="s">
        <v>135</v>
      </c>
      <c r="Y54" s="37"/>
      <c r="Z54" s="37"/>
      <c r="AA54" s="37"/>
      <c r="AB54" s="37"/>
      <c r="AC54" s="37"/>
      <c r="AD54" s="37"/>
      <c r="AE54" s="37"/>
      <c r="AF54" s="37"/>
      <c r="AG54" s="37"/>
      <c r="AH54" s="37"/>
      <c r="AI54" s="37"/>
      <c r="AJ54" s="37"/>
      <c r="AK54" s="37"/>
      <c r="AL54" s="37"/>
      <c r="AM54" s="37"/>
      <c r="AN54" s="39"/>
      <c r="AO54" s="39"/>
      <c r="AP54" s="39"/>
      <c r="AQ54" s="39"/>
      <c r="AR54" s="37"/>
      <c r="AS54" s="39">
        <v>712</v>
      </c>
      <c r="AT54" s="39" t="s">
        <v>87</v>
      </c>
      <c r="AU54" s="39" t="s">
        <v>248</v>
      </c>
      <c r="AV54" s="70" t="s">
        <v>301</v>
      </c>
      <c r="AW54" s="39">
        <v>712</v>
      </c>
      <c r="AX54" s="39" t="s">
        <v>87</v>
      </c>
      <c r="AY54" s="39">
        <v>240190</v>
      </c>
      <c r="AZ54" s="37" t="s">
        <v>249</v>
      </c>
      <c r="BA54" s="37"/>
      <c r="BB54" s="37"/>
      <c r="BC54" s="37"/>
      <c r="BD54" s="37"/>
      <c r="BE54" s="37" t="s">
        <v>478</v>
      </c>
    </row>
    <row r="55" spans="1:57" s="18" customFormat="1" ht="178.5" customHeight="1" x14ac:dyDescent="0.25">
      <c r="A55" s="19" t="s">
        <v>69</v>
      </c>
      <c r="B55" s="20" t="s">
        <v>163</v>
      </c>
      <c r="C55" s="19" t="s">
        <v>71</v>
      </c>
      <c r="D55" s="19">
        <v>516</v>
      </c>
      <c r="E55" s="19" t="s">
        <v>107</v>
      </c>
      <c r="F55" s="19" t="s">
        <v>108</v>
      </c>
      <c r="G55" s="19" t="s">
        <v>74</v>
      </c>
      <c r="H55" s="20" t="s">
        <v>261</v>
      </c>
      <c r="I55" s="46" t="s">
        <v>262</v>
      </c>
      <c r="J55" s="20" t="s">
        <v>263</v>
      </c>
      <c r="K55" s="19" t="s">
        <v>78</v>
      </c>
      <c r="L55" s="30" t="s">
        <v>79</v>
      </c>
      <c r="M55" s="29" t="s">
        <v>264</v>
      </c>
      <c r="N55" s="29" t="s">
        <v>265</v>
      </c>
      <c r="O55" s="19" t="s">
        <v>82</v>
      </c>
      <c r="P55" s="41" t="s">
        <v>83</v>
      </c>
      <c r="Q55" s="42">
        <v>45838</v>
      </c>
      <c r="R55" s="19" t="s">
        <v>243</v>
      </c>
      <c r="S55" s="19">
        <v>2023</v>
      </c>
      <c r="T55" s="19" t="s">
        <v>84</v>
      </c>
      <c r="U55" s="19">
        <v>23</v>
      </c>
      <c r="V55" s="19">
        <v>2025</v>
      </c>
      <c r="W55" s="19" t="s">
        <v>101</v>
      </c>
      <c r="X55" s="19" t="s">
        <v>86</v>
      </c>
      <c r="Y55" s="23">
        <v>2.34</v>
      </c>
      <c r="Z55" s="23" t="s">
        <v>418</v>
      </c>
      <c r="AA55" s="23" t="s">
        <v>336</v>
      </c>
      <c r="AB55" s="23">
        <v>5.2</v>
      </c>
      <c r="AC55" s="23" t="s">
        <v>341</v>
      </c>
      <c r="AD55" s="23" t="s">
        <v>336</v>
      </c>
      <c r="AE55" s="23" t="s">
        <v>471</v>
      </c>
      <c r="AF55" s="23" t="s">
        <v>472</v>
      </c>
      <c r="AG55" s="23" t="s">
        <v>336</v>
      </c>
      <c r="AH55" s="84">
        <v>25</v>
      </c>
      <c r="AI55" s="84" t="s">
        <v>513</v>
      </c>
      <c r="AJ55" s="84" t="s">
        <v>336</v>
      </c>
      <c r="AK55" s="86"/>
      <c r="AL55" s="86">
        <v>3</v>
      </c>
      <c r="AM55" s="86"/>
      <c r="AN55" s="86">
        <v>3</v>
      </c>
      <c r="AO55" s="86">
        <v>8</v>
      </c>
      <c r="AP55" s="86"/>
      <c r="AQ55" s="86">
        <v>9</v>
      </c>
      <c r="AR55" s="86"/>
      <c r="AS55" s="19">
        <v>712</v>
      </c>
      <c r="AT55" s="19" t="s">
        <v>87</v>
      </c>
      <c r="AU55" s="19" t="s">
        <v>248</v>
      </c>
      <c r="AV55" s="27" t="s">
        <v>301</v>
      </c>
      <c r="AW55" s="19">
        <v>712</v>
      </c>
      <c r="AX55" s="19" t="s">
        <v>87</v>
      </c>
      <c r="AY55" s="19">
        <v>240190</v>
      </c>
      <c r="AZ55" s="20" t="s">
        <v>249</v>
      </c>
      <c r="BA55" s="66">
        <v>23</v>
      </c>
      <c r="BB55" s="64">
        <v>729213665</v>
      </c>
      <c r="BC55" s="64">
        <v>729213665</v>
      </c>
      <c r="BD55" s="20" t="s">
        <v>477</v>
      </c>
      <c r="BE55" s="20"/>
    </row>
    <row r="56" spans="1:57" s="18" customFormat="1" ht="216.75" customHeight="1" x14ac:dyDescent="0.25">
      <c r="A56" s="19" t="s">
        <v>69</v>
      </c>
      <c r="B56" s="20" t="s">
        <v>163</v>
      </c>
      <c r="C56" s="19" t="s">
        <v>71</v>
      </c>
      <c r="D56" s="19">
        <v>517</v>
      </c>
      <c r="E56" s="19" t="s">
        <v>107</v>
      </c>
      <c r="F56" s="19" t="s">
        <v>239</v>
      </c>
      <c r="G56" s="19" t="s">
        <v>123</v>
      </c>
      <c r="H56" s="20" t="s">
        <v>266</v>
      </c>
      <c r="I56" s="47" t="s">
        <v>267</v>
      </c>
      <c r="J56" s="20" t="s">
        <v>268</v>
      </c>
      <c r="K56" s="19" t="s">
        <v>78</v>
      </c>
      <c r="L56" s="23" t="s">
        <v>79</v>
      </c>
      <c r="M56" s="23" t="s">
        <v>313</v>
      </c>
      <c r="N56" s="23" t="s">
        <v>306</v>
      </c>
      <c r="O56" s="41" t="s">
        <v>100</v>
      </c>
      <c r="P56" s="41" t="s">
        <v>83</v>
      </c>
      <c r="Q56" s="42">
        <v>45838</v>
      </c>
      <c r="R56" s="23">
        <v>1</v>
      </c>
      <c r="S56" s="23">
        <v>2023</v>
      </c>
      <c r="T56" s="41" t="s">
        <v>100</v>
      </c>
      <c r="U56" s="19">
        <v>1</v>
      </c>
      <c r="V56" s="19">
        <v>2025</v>
      </c>
      <c r="W56" s="19" t="s">
        <v>101</v>
      </c>
      <c r="X56" s="19" t="s">
        <v>86</v>
      </c>
      <c r="Y56" s="23">
        <v>0</v>
      </c>
      <c r="Z56" s="23" t="s">
        <v>340</v>
      </c>
      <c r="AA56" s="23" t="s">
        <v>340</v>
      </c>
      <c r="AB56" s="23">
        <v>0.28000000000000003</v>
      </c>
      <c r="AC56" s="23" t="s">
        <v>342</v>
      </c>
      <c r="AD56" s="23" t="s">
        <v>343</v>
      </c>
      <c r="AE56" s="23"/>
      <c r="AF56" s="23"/>
      <c r="AG56" s="23"/>
      <c r="AH56" s="84">
        <v>1</v>
      </c>
      <c r="AI56" s="84" t="s">
        <v>512</v>
      </c>
      <c r="AJ56" s="84" t="s">
        <v>336</v>
      </c>
      <c r="AK56" s="86"/>
      <c r="AL56" s="86"/>
      <c r="AM56" s="86"/>
      <c r="AN56" s="83"/>
      <c r="AO56" s="83"/>
      <c r="AP56" s="83"/>
      <c r="AQ56" s="83"/>
      <c r="AR56" s="86"/>
      <c r="AS56" s="19">
        <v>712</v>
      </c>
      <c r="AT56" s="19" t="s">
        <v>87</v>
      </c>
      <c r="AU56" s="19" t="s">
        <v>248</v>
      </c>
      <c r="AV56" s="27" t="s">
        <v>301</v>
      </c>
      <c r="AW56" s="19">
        <v>712</v>
      </c>
      <c r="AX56" s="19" t="s">
        <v>87</v>
      </c>
      <c r="AY56" s="19">
        <v>240190</v>
      </c>
      <c r="AZ56" s="20" t="s">
        <v>249</v>
      </c>
      <c r="BA56" s="26">
        <v>0.45</v>
      </c>
      <c r="BB56" s="64">
        <v>729213665</v>
      </c>
      <c r="BC56" s="64">
        <v>729213665</v>
      </c>
      <c r="BD56" s="20" t="s">
        <v>477</v>
      </c>
      <c r="BE56" s="20"/>
    </row>
    <row r="57" spans="1:57" s="18" customFormat="1" ht="229.5" customHeight="1" x14ac:dyDescent="0.25">
      <c r="A57" s="19" t="s">
        <v>69</v>
      </c>
      <c r="B57" s="20" t="s">
        <v>163</v>
      </c>
      <c r="C57" s="19" t="s">
        <v>71</v>
      </c>
      <c r="D57" s="19">
        <v>518</v>
      </c>
      <c r="E57" s="19" t="s">
        <v>112</v>
      </c>
      <c r="F57" s="19" t="s">
        <v>167</v>
      </c>
      <c r="G57" s="19" t="s">
        <v>74</v>
      </c>
      <c r="H57" s="20" t="s">
        <v>269</v>
      </c>
      <c r="I57" s="46" t="s">
        <v>270</v>
      </c>
      <c r="J57" s="20" t="s">
        <v>271</v>
      </c>
      <c r="K57" s="19" t="s">
        <v>78</v>
      </c>
      <c r="L57" s="30" t="s">
        <v>117</v>
      </c>
      <c r="M57" s="29" t="s">
        <v>272</v>
      </c>
      <c r="N57" s="29" t="s">
        <v>273</v>
      </c>
      <c r="O57" s="19" t="s">
        <v>82</v>
      </c>
      <c r="P57" s="41" t="s">
        <v>83</v>
      </c>
      <c r="Q57" s="42">
        <v>45838</v>
      </c>
      <c r="R57" s="19">
        <v>469</v>
      </c>
      <c r="S57" s="19">
        <v>2023</v>
      </c>
      <c r="T57" s="19" t="s">
        <v>84</v>
      </c>
      <c r="U57" s="19">
        <v>100</v>
      </c>
      <c r="V57" s="19">
        <v>2025</v>
      </c>
      <c r="W57" s="19" t="s">
        <v>101</v>
      </c>
      <c r="X57" s="19" t="s">
        <v>86</v>
      </c>
      <c r="Y57" s="23">
        <v>0</v>
      </c>
      <c r="Z57" s="23" t="s">
        <v>344</v>
      </c>
      <c r="AA57" s="23" t="s">
        <v>340</v>
      </c>
      <c r="AB57" s="23">
        <v>48</v>
      </c>
      <c r="AC57" s="23" t="s">
        <v>345</v>
      </c>
      <c r="AD57" s="23" t="s">
        <v>346</v>
      </c>
      <c r="AE57" s="23">
        <v>48</v>
      </c>
      <c r="AF57" s="23" t="s">
        <v>473</v>
      </c>
      <c r="AG57" s="23" t="s">
        <v>346</v>
      </c>
      <c r="AH57" s="84">
        <v>135</v>
      </c>
      <c r="AI57" s="84" t="s">
        <v>511</v>
      </c>
      <c r="AJ57" s="84" t="s">
        <v>336</v>
      </c>
      <c r="AK57" s="91" t="s">
        <v>351</v>
      </c>
      <c r="AL57" s="91">
        <v>6</v>
      </c>
      <c r="AM57" s="91"/>
      <c r="AN57" s="91">
        <v>2</v>
      </c>
      <c r="AO57" s="91">
        <v>5</v>
      </c>
      <c r="AP57" s="91"/>
      <c r="AQ57" s="91">
        <v>8</v>
      </c>
      <c r="AR57" s="91"/>
      <c r="AS57" s="19">
        <v>712</v>
      </c>
      <c r="AT57" s="19" t="s">
        <v>87</v>
      </c>
      <c r="AU57" s="19" t="s">
        <v>248</v>
      </c>
      <c r="AV57" s="27" t="s">
        <v>301</v>
      </c>
      <c r="AW57" s="19">
        <v>712</v>
      </c>
      <c r="AX57" s="19" t="s">
        <v>87</v>
      </c>
      <c r="AY57" s="19">
        <v>240183</v>
      </c>
      <c r="AZ57" s="20" t="s">
        <v>274</v>
      </c>
      <c r="BA57" s="19">
        <v>100</v>
      </c>
      <c r="BB57" s="64">
        <v>327845848</v>
      </c>
      <c r="BC57" s="64">
        <v>327845848</v>
      </c>
      <c r="BD57" s="20" t="s">
        <v>477</v>
      </c>
      <c r="BE57" s="20"/>
    </row>
    <row r="58" spans="1:57" s="18" customFormat="1" ht="140.25" customHeight="1" x14ac:dyDescent="0.25">
      <c r="A58" s="19" t="s">
        <v>69</v>
      </c>
      <c r="B58" s="20" t="s">
        <v>163</v>
      </c>
      <c r="C58" s="19" t="s">
        <v>71</v>
      </c>
      <c r="D58" s="19">
        <v>519</v>
      </c>
      <c r="E58" s="19" t="s">
        <v>107</v>
      </c>
      <c r="F58" s="19" t="s">
        <v>239</v>
      </c>
      <c r="G58" s="19" t="s">
        <v>123</v>
      </c>
      <c r="H58" s="20" t="s">
        <v>275</v>
      </c>
      <c r="I58" s="46" t="s">
        <v>276</v>
      </c>
      <c r="J58" s="20" t="s">
        <v>277</v>
      </c>
      <c r="K58" s="19" t="s">
        <v>78</v>
      </c>
      <c r="L58" s="30" t="s">
        <v>117</v>
      </c>
      <c r="M58" s="29" t="s">
        <v>278</v>
      </c>
      <c r="N58" s="29" t="s">
        <v>279</v>
      </c>
      <c r="O58" s="19" t="s">
        <v>82</v>
      </c>
      <c r="P58" s="41" t="s">
        <v>83</v>
      </c>
      <c r="Q58" s="42">
        <v>45838</v>
      </c>
      <c r="R58" s="19">
        <v>200</v>
      </c>
      <c r="S58" s="19">
        <v>2023</v>
      </c>
      <c r="T58" s="19" t="s">
        <v>84</v>
      </c>
      <c r="U58" s="19">
        <v>77</v>
      </c>
      <c r="V58" s="19">
        <v>2025</v>
      </c>
      <c r="W58" s="19" t="s">
        <v>101</v>
      </c>
      <c r="X58" s="19" t="s">
        <v>135</v>
      </c>
      <c r="Y58" s="23">
        <v>0</v>
      </c>
      <c r="Z58" s="23" t="s">
        <v>344</v>
      </c>
      <c r="AA58" s="23" t="s">
        <v>340</v>
      </c>
      <c r="AB58" s="23">
        <v>42</v>
      </c>
      <c r="AC58" s="23" t="s">
        <v>347</v>
      </c>
      <c r="AD58" s="23" t="s">
        <v>346</v>
      </c>
      <c r="AE58" s="23">
        <v>61</v>
      </c>
      <c r="AF58" s="23" t="s">
        <v>474</v>
      </c>
      <c r="AG58" s="23" t="s">
        <v>346</v>
      </c>
      <c r="AH58" s="84">
        <v>77</v>
      </c>
      <c r="AI58" s="84" t="s">
        <v>510</v>
      </c>
      <c r="AJ58" s="84" t="s">
        <v>336</v>
      </c>
      <c r="AK58" s="86"/>
      <c r="AL58" s="86"/>
      <c r="AM58" s="86"/>
      <c r="AN58" s="83"/>
      <c r="AO58" s="83"/>
      <c r="AP58" s="83"/>
      <c r="AQ58" s="83"/>
      <c r="AR58" s="86"/>
      <c r="AS58" s="19">
        <v>712</v>
      </c>
      <c r="AT58" s="19" t="s">
        <v>87</v>
      </c>
      <c r="AU58" s="19" t="s">
        <v>248</v>
      </c>
      <c r="AV58" s="27" t="s">
        <v>301</v>
      </c>
      <c r="AW58" s="19">
        <v>712</v>
      </c>
      <c r="AX58" s="19" t="s">
        <v>87</v>
      </c>
      <c r="AY58" s="19">
        <v>240183</v>
      </c>
      <c r="AZ58" s="20" t="s">
        <v>274</v>
      </c>
      <c r="BA58" s="19">
        <v>77</v>
      </c>
      <c r="BB58" s="64">
        <v>327845848</v>
      </c>
      <c r="BC58" s="64">
        <v>327845848</v>
      </c>
      <c r="BD58" s="20" t="s">
        <v>477</v>
      </c>
      <c r="BE58" s="20"/>
    </row>
    <row r="59" spans="1:57" s="18" customFormat="1" ht="89.25" customHeight="1" x14ac:dyDescent="0.25">
      <c r="A59" s="39" t="s">
        <v>69</v>
      </c>
      <c r="B59" s="37" t="s">
        <v>163</v>
      </c>
      <c r="C59" s="39" t="s">
        <v>71</v>
      </c>
      <c r="D59" s="39">
        <v>520</v>
      </c>
      <c r="E59" s="39" t="s">
        <v>72</v>
      </c>
      <c r="F59" s="39" t="s">
        <v>164</v>
      </c>
      <c r="G59" s="39" t="s">
        <v>123</v>
      </c>
      <c r="H59" s="37" t="s">
        <v>280</v>
      </c>
      <c r="I59" s="37" t="s">
        <v>281</v>
      </c>
      <c r="J59" s="37" t="s">
        <v>77</v>
      </c>
      <c r="K59" s="39" t="s">
        <v>78</v>
      </c>
      <c r="L59" s="39" t="s">
        <v>304</v>
      </c>
      <c r="M59" s="39" t="s">
        <v>305</v>
      </c>
      <c r="N59" s="39" t="s">
        <v>306</v>
      </c>
      <c r="O59" s="39" t="s">
        <v>100</v>
      </c>
      <c r="P59" s="39" t="s">
        <v>83</v>
      </c>
      <c r="Q59" s="40">
        <v>45838</v>
      </c>
      <c r="R59" s="37"/>
      <c r="S59" s="37"/>
      <c r="T59" s="37"/>
      <c r="U59" s="39"/>
      <c r="V59" s="39">
        <v>2025</v>
      </c>
      <c r="W59" s="39" t="s">
        <v>101</v>
      </c>
      <c r="X59" s="39" t="s">
        <v>86</v>
      </c>
      <c r="Y59" s="37"/>
      <c r="Z59" s="37"/>
      <c r="AA59" s="37"/>
      <c r="AB59" s="37"/>
      <c r="AC59" s="37"/>
      <c r="AD59" s="37"/>
      <c r="AE59" s="37"/>
      <c r="AF59" s="37"/>
      <c r="AG59" s="37"/>
      <c r="AH59" s="37"/>
      <c r="AI59" s="37"/>
      <c r="AJ59" s="37"/>
      <c r="AK59" s="37"/>
      <c r="AL59" s="37"/>
      <c r="AM59" s="37"/>
      <c r="AN59" s="39"/>
      <c r="AO59" s="39"/>
      <c r="AP59" s="39"/>
      <c r="AQ59" s="39"/>
      <c r="AR59" s="37"/>
      <c r="AS59" s="39">
        <v>712</v>
      </c>
      <c r="AT59" s="39" t="s">
        <v>87</v>
      </c>
      <c r="AU59" s="39" t="s">
        <v>248</v>
      </c>
      <c r="AV59" s="70" t="s">
        <v>301</v>
      </c>
      <c r="AW59" s="39">
        <v>712</v>
      </c>
      <c r="AX59" s="39" t="s">
        <v>87</v>
      </c>
      <c r="AY59" s="39">
        <v>240190</v>
      </c>
      <c r="AZ59" s="37" t="s">
        <v>249</v>
      </c>
      <c r="BA59" s="37"/>
      <c r="BB59" s="37"/>
      <c r="BC59" s="37"/>
      <c r="BD59" s="37"/>
      <c r="BE59" s="37" t="s">
        <v>478</v>
      </c>
    </row>
    <row r="60" spans="1:57" s="18" customFormat="1" ht="409.5" customHeight="1" x14ac:dyDescent="0.25">
      <c r="A60" s="19" t="s">
        <v>69</v>
      </c>
      <c r="B60" s="20" t="s">
        <v>163</v>
      </c>
      <c r="C60" s="19" t="s">
        <v>71</v>
      </c>
      <c r="D60" s="19">
        <v>521</v>
      </c>
      <c r="E60" s="19" t="s">
        <v>112</v>
      </c>
      <c r="F60" s="19" t="s">
        <v>154</v>
      </c>
      <c r="G60" s="19" t="s">
        <v>155</v>
      </c>
      <c r="H60" s="20" t="s">
        <v>282</v>
      </c>
      <c r="I60" s="46" t="s">
        <v>283</v>
      </c>
      <c r="J60" s="20" t="s">
        <v>77</v>
      </c>
      <c r="K60" s="19" t="s">
        <v>78</v>
      </c>
      <c r="L60" s="30" t="s">
        <v>117</v>
      </c>
      <c r="M60" s="29" t="s">
        <v>284</v>
      </c>
      <c r="N60" s="29" t="s">
        <v>285</v>
      </c>
      <c r="O60" s="19" t="s">
        <v>82</v>
      </c>
      <c r="P60" s="41" t="s">
        <v>83</v>
      </c>
      <c r="Q60" s="42">
        <v>45838</v>
      </c>
      <c r="R60" s="19">
        <v>1399</v>
      </c>
      <c r="S60" s="19">
        <v>2023</v>
      </c>
      <c r="T60" s="19" t="s">
        <v>84</v>
      </c>
      <c r="U60" s="19">
        <v>437</v>
      </c>
      <c r="V60" s="19">
        <v>2025</v>
      </c>
      <c r="W60" s="19" t="s">
        <v>101</v>
      </c>
      <c r="X60" s="19" t="s">
        <v>135</v>
      </c>
      <c r="Y60" s="23">
        <v>31</v>
      </c>
      <c r="Z60" s="60" t="s">
        <v>376</v>
      </c>
      <c r="AA60" s="60" t="s">
        <v>377</v>
      </c>
      <c r="AB60" s="23">
        <v>163</v>
      </c>
      <c r="AC60" s="24" t="s">
        <v>378</v>
      </c>
      <c r="AD60" s="23" t="s">
        <v>379</v>
      </c>
      <c r="AE60" s="23">
        <v>377</v>
      </c>
      <c r="AF60" s="23" t="s">
        <v>475</v>
      </c>
      <c r="AG60" s="23" t="s">
        <v>476</v>
      </c>
      <c r="AH60" s="84">
        <v>413</v>
      </c>
      <c r="AI60" s="84" t="s">
        <v>483</v>
      </c>
      <c r="AJ60" s="84" t="s">
        <v>476</v>
      </c>
      <c r="AK60" s="86"/>
      <c r="AL60" s="86"/>
      <c r="AM60" s="86"/>
      <c r="AN60" s="86"/>
      <c r="AO60" s="86"/>
      <c r="AP60" s="86"/>
      <c r="AQ60" s="86"/>
      <c r="AR60" s="86"/>
      <c r="AS60" s="19">
        <v>712</v>
      </c>
      <c r="AT60" s="19" t="s">
        <v>87</v>
      </c>
      <c r="AU60" s="19" t="s">
        <v>286</v>
      </c>
      <c r="AV60" s="27" t="s">
        <v>302</v>
      </c>
      <c r="AW60" s="19">
        <v>712</v>
      </c>
      <c r="AX60" s="19" t="s">
        <v>87</v>
      </c>
      <c r="AY60" s="19">
        <v>240186</v>
      </c>
      <c r="AZ60" s="20" t="s">
        <v>287</v>
      </c>
      <c r="BA60" s="19">
        <v>406</v>
      </c>
      <c r="BB60" s="64">
        <v>524042514</v>
      </c>
      <c r="BC60" s="64">
        <v>522354598</v>
      </c>
      <c r="BD60" s="20" t="s">
        <v>477</v>
      </c>
      <c r="BE60" s="20"/>
    </row>
    <row r="61" spans="1:57" s="18" customFormat="1" ht="63.75" customHeight="1" x14ac:dyDescent="0.25">
      <c r="A61" s="39" t="s">
        <v>69</v>
      </c>
      <c r="B61" s="37" t="s">
        <v>163</v>
      </c>
      <c r="C61" s="39" t="s">
        <v>71</v>
      </c>
      <c r="D61" s="39">
        <v>522</v>
      </c>
      <c r="E61" s="39" t="s">
        <v>107</v>
      </c>
      <c r="F61" s="39" t="s">
        <v>197</v>
      </c>
      <c r="G61" s="39" t="s">
        <v>155</v>
      </c>
      <c r="H61" s="37" t="s">
        <v>288</v>
      </c>
      <c r="I61" s="37" t="s">
        <v>289</v>
      </c>
      <c r="J61" s="37" t="s">
        <v>290</v>
      </c>
      <c r="K61" s="39" t="s">
        <v>78</v>
      </c>
      <c r="L61" s="39" t="s">
        <v>79</v>
      </c>
      <c r="M61" s="39" t="s">
        <v>314</v>
      </c>
      <c r="N61" s="39" t="s">
        <v>291</v>
      </c>
      <c r="O61" s="39" t="s">
        <v>82</v>
      </c>
      <c r="P61" s="39" t="s">
        <v>83</v>
      </c>
      <c r="Q61" s="40">
        <v>45838</v>
      </c>
      <c r="R61" s="39">
        <v>3</v>
      </c>
      <c r="S61" s="39">
        <v>2023</v>
      </c>
      <c r="T61" s="39" t="s">
        <v>84</v>
      </c>
      <c r="U61" s="39">
        <v>3</v>
      </c>
      <c r="V61" s="39">
        <v>2025</v>
      </c>
      <c r="W61" s="39" t="s">
        <v>101</v>
      </c>
      <c r="X61" s="39" t="s">
        <v>135</v>
      </c>
      <c r="Y61" s="39"/>
      <c r="Z61" s="37"/>
      <c r="AA61" s="37"/>
      <c r="AB61" s="37"/>
      <c r="AC61" s="37"/>
      <c r="AD61" s="39"/>
      <c r="AE61" s="39"/>
      <c r="AF61" s="39"/>
      <c r="AG61" s="39"/>
      <c r="AH61" s="39"/>
      <c r="AI61" s="39"/>
      <c r="AJ61" s="39"/>
      <c r="AK61" s="37"/>
      <c r="AL61" s="37"/>
      <c r="AM61" s="37"/>
      <c r="AN61" s="37"/>
      <c r="AO61" s="37"/>
      <c r="AP61" s="37"/>
      <c r="AQ61" s="37"/>
      <c r="AR61" s="37"/>
      <c r="AS61" s="39">
        <v>712</v>
      </c>
      <c r="AT61" s="39" t="s">
        <v>87</v>
      </c>
      <c r="AU61" s="39" t="s">
        <v>286</v>
      </c>
      <c r="AV61" s="70" t="s">
        <v>302</v>
      </c>
      <c r="AW61" s="39">
        <v>712</v>
      </c>
      <c r="AX61" s="39" t="s">
        <v>87</v>
      </c>
      <c r="AY61" s="39">
        <v>240186</v>
      </c>
      <c r="AZ61" s="37" t="s">
        <v>287</v>
      </c>
      <c r="BA61" s="37"/>
      <c r="BB61" s="37"/>
      <c r="BC61" s="37"/>
      <c r="BD61" s="37"/>
      <c r="BE61" s="37" t="s">
        <v>478</v>
      </c>
    </row>
  </sheetData>
  <sheetProtection selectLockedCells="1" selectUnlockedCells="1"/>
  <protectedRanges>
    <protectedRange sqref="L1:N27 L29:N1048576" name="Rango1"/>
    <protectedRange sqref="Q1:T11 Q57:T1048576 Q56:S56 Q25:T25 Q29:T34 Q20 Q15:T16 Q37:T37 Q41:T55 Q27:T27" name="Rango2"/>
    <protectedRange sqref="W50:AJ50 W49:X49 W54:AJ54 W51:X53 W59:AJ59 W55:Y56 W57:X58 W27:AJ27 W25:X25 W32:AJ34 W29:X31 W61:AJ1048576 W60:X60 W42:X42 W16:AJ16 W41:AJ41 W37:AJ37 W43:AJ43 W45:AJ45 W44:AF44 W46:AF46 W48:AJ48 W15:AI15 W1:AJ11 W47:AI47" name="Rango3"/>
    <protectedRange sqref="AK1:AR11 AK50:AR50 AK53:AR54 AK59:AR59 AK25:AR25 AK61:AR1048576 AK43:AR47 AK15:AR16 AK37:AR37 AK41:AR41 AK27:AR27 AK48:AQ48 AR48:AR49 AK32:AR34" name="Rango4"/>
    <protectedRange sqref="AU1:AV1048576" name="Rango5"/>
    <protectedRange sqref="AY1:BE1048576" name="Rango6"/>
    <protectedRange sqref="AA51:AA52 Y49:AG49" name="Rango3_1"/>
    <protectedRange sqref="AK49:AQ49" name="Rango4_1"/>
    <protectedRange sqref="Y51:Z51 AB51:AG51" name="Rango3_2"/>
    <protectedRange sqref="AK51:AR51" name="Rango4_2"/>
    <protectedRange sqref="Y52:Z52 AB52:AG52" name="Rango3_3"/>
    <protectedRange sqref="AK52:AR52" name="Rango4_3"/>
    <protectedRange sqref="Y53:AA53 Z56:AA56" name="Rango3_4"/>
    <protectedRange sqref="AB53:AG53" name="Rango3_5"/>
    <protectedRange sqref="Z55:AG55" name="Rango3_6"/>
    <protectedRange sqref="AR56 AR58" name="Rango4_4"/>
    <protectedRange sqref="AB56:AG56" name="Rango3_7"/>
    <protectedRange sqref="AK56:AQ56" name="Rango4_5"/>
    <protectedRange sqref="Y57:AG57" name="Rango3_8"/>
    <protectedRange sqref="Y58:AG58" name="Rango3_9"/>
    <protectedRange sqref="AK58:AQ58" name="Rango4_7"/>
    <protectedRange sqref="Y25:AF25" name="Rango3_11"/>
    <protectedRange sqref="L28:N28" name="Rango1_1"/>
    <protectedRange sqref="Q28:T28" name="Rango2_1"/>
    <protectedRange sqref="W28:AF28 AI28:AJ28" name="Rango3_12"/>
    <protectedRange sqref="Y29:AF29 AI29:AJ29 AJ31" name="Rango3_13"/>
    <protectedRange sqref="Y30:AF30 AJ15 AI30:AJ30 Y31:AI31" name="Rango3_14"/>
    <protectedRange sqref="R20:T20" name="Rango2_2"/>
    <protectedRange sqref="W20:AJ20" name="Rango3_15"/>
    <protectedRange sqref="AR21" name="Rango4_9"/>
    <protectedRange sqref="Q21:T21" name="Rango2_3"/>
    <protectedRange sqref="W21:AJ21" name="Rango3_16"/>
    <protectedRange sqref="Q22:T22" name="Rango2_4"/>
    <protectedRange sqref="W22:AC22 AE22:AF22" name="Rango3_17"/>
    <protectedRange sqref="AR22" name="Rango4_12"/>
    <protectedRange sqref="Y60:AJ60" name="Rango3_11_1"/>
    <protectedRange sqref="AK60:AR60" name="Rango4_11_1"/>
    <protectedRange sqref="Z42 AB42:AC42 AF42" name="Rango3_11_2"/>
    <protectedRange sqref="Y42 AD42:AE42 AG42:AJ42 AG46:AJ46 AJ47 AG44:AJ44" name="Rango3_12_1"/>
    <protectedRange sqref="AA42" name="Rango3_1_2"/>
    <protectedRange sqref="AK42:AR42" name="Rango4_12_1"/>
    <protectedRange sqref="Q12:T12" name="Rango2_5"/>
    <protectedRange sqref="W12:AJ12" name="Rango3_18"/>
    <protectedRange sqref="Q13:T13" name="Rango2_7"/>
    <protectedRange sqref="W13:AH13 AJ13" name="Rango3_19"/>
    <protectedRange sqref="Q14:T14" name="Rango2_9"/>
    <protectedRange sqref="W14:AJ14 AG17:AJ17" name="Rango3_20"/>
    <protectedRange sqref="AK14:AR14 AK20:AR20 AK21:AQ22" name="Rango4_15"/>
    <protectedRange sqref="Q18:T18" name="Rango2_10"/>
    <protectedRange sqref="W18:AJ18" name="Rango3_21"/>
    <protectedRange sqref="Q19:T19" name="Rango2_12"/>
    <protectedRange sqref="AD22 AG28:AH30 W19:AJ19 AG25:AJ25 AG22:AJ23" name="Rango3_23"/>
    <protectedRange sqref="Q17:T17" name="Rango2_13"/>
    <protectedRange sqref="W17:AF17" name="Rango3_24"/>
    <protectedRange sqref="Q35:T35" name="Rango2_14"/>
    <protectedRange sqref="W35:X35 AG36:AH36 AJ36 AB35:AJ35 AG38:AJ38" name="Rango3_29"/>
    <protectedRange sqref="AK35:AR35" name="Rango4_20"/>
    <protectedRange sqref="Y35:AA35" name="Rango3_1_3"/>
    <protectedRange sqref="Q36:T36" name="Rango2_15"/>
    <protectedRange sqref="W36:X36 AB36 AD36:AF36 AI36" name="Rango3_30"/>
    <protectedRange sqref="AK36:AR36" name="Rango4_21"/>
    <protectedRange sqref="Y36:AA36 AC36" name="Rango3_2_1"/>
    <protectedRange sqref="Q38:T38" name="Rango2_16"/>
    <protectedRange sqref="W38:X38 AB38" name="Rango3_31"/>
    <protectedRange sqref="AK38:AR38" name="Rango4_22"/>
    <protectedRange sqref="Y38:AA38 AC38:AF38" name="Rango3_3_1"/>
    <protectedRange sqref="Q39:T39" name="Rango2_17"/>
    <protectedRange sqref="W39:X39 AB39" name="Rango3_32"/>
    <protectedRange sqref="AK39:AR39" name="Rango4_23"/>
    <protectedRange sqref="Y39:AA39 AC39:AJ39" name="Rango3_4_1"/>
    <protectedRange sqref="Q40:T40" name="Rango2_18"/>
    <protectedRange sqref="W40:AJ40" name="Rango3_33"/>
    <protectedRange sqref="AK40:AR40" name="Rango4_24"/>
    <protectedRange sqref="Q23:T23" name="Rango2_19"/>
    <protectedRange sqref="W23:AF23" name="Rango3_34"/>
    <protectedRange sqref="W24:X24" name="Rango3_35"/>
    <protectedRange sqref="Q24:S24" name="Rango2_6_1"/>
    <protectedRange sqref="T24" name="Rango2_8_1"/>
    <protectedRange sqref="Y24:AJ24" name="Rango3_10_1"/>
    <protectedRange sqref="AK24:AR24" name="Rango4_10_1"/>
    <protectedRange sqref="Q26:T26" name="Rango2_20"/>
    <protectedRange sqref="W26:AJ26" name="Rango3_36"/>
    <protectedRange sqref="AK26:AR26" name="Rango4_26"/>
    <protectedRange sqref="AK28:AR28" name="Rango4_10"/>
    <protectedRange sqref="AL29:AR29" name="Rango4_11"/>
    <protectedRange sqref="AK29" name="Rango4_8_1"/>
    <protectedRange sqref="AL30:AR30" name="Rango4_17"/>
    <protectedRange sqref="AK30" name="Rango4_8_2"/>
    <protectedRange sqref="AL31:AR31" name="Rango4_27"/>
    <protectedRange sqref="AK31" name="Rango4_8_3"/>
    <protectedRange sqref="AK12:AR12" name="Rango4_13_1"/>
    <protectedRange sqref="AK13:AR13" name="Rango4_14_1"/>
    <protectedRange sqref="AK17:AR17" name="Rango4_19_1"/>
    <protectedRange sqref="AK18:AR18" name="Rango4_16_1"/>
    <protectedRange sqref="AK19:AR19" name="Rango4_18_1"/>
    <protectedRange sqref="AK23:AR23" name="Rango4_25_1"/>
    <protectedRange sqref="AJ58" name="Rango3_6_1"/>
    <protectedRange sqref="AH58:AI58" name="Rango3_9_1"/>
    <protectedRange sqref="AJ57" name="Rango3_6_2"/>
    <protectedRange sqref="AR57" name="Rango4_4_1"/>
    <protectedRange sqref="AH57:AI57" name="Rango3_8_1"/>
    <protectedRange sqref="AK57:AQ57" name="Rango4_6_1"/>
    <protectedRange sqref="AJ56" name="Rango3_6_3"/>
    <protectedRange sqref="AH56:AI56" name="Rango3_7_1"/>
    <protectedRange sqref="AH55:AJ55" name="Rango3_6_4"/>
    <protectedRange sqref="AK55:AR55" name="Rango4_4_2"/>
    <protectedRange sqref="AH51:AI51" name="Rango3_2_2"/>
    <protectedRange sqref="AH52:AI52" name="Rango3_3_2"/>
    <protectedRange sqref="AH53:AI53" name="Rango3_5_1"/>
    <protectedRange sqref="AJ51:AJ53" name="Rango3_6_5"/>
    <protectedRange sqref="AH49:AI49" name="Rango3_1_1"/>
    <protectedRange sqref="AJ49" name="Rango3_6_6"/>
  </protectedRanges>
  <autoFilter ref="A11:CK61" xr:uid="{00000000-0009-0000-0000-000000000000}"/>
  <mergeCells count="20">
    <mergeCell ref="A4:BE4"/>
    <mergeCell ref="H5:BE8"/>
    <mergeCell ref="A6:B7"/>
    <mergeCell ref="E6:E7"/>
    <mergeCell ref="A9:C10"/>
    <mergeCell ref="D9:J10"/>
    <mergeCell ref="K9:Q10"/>
    <mergeCell ref="R9:X10"/>
    <mergeCell ref="Y9:AD9"/>
    <mergeCell ref="AK9:AR9"/>
    <mergeCell ref="AS9:AX9"/>
    <mergeCell ref="AY9:BD9"/>
    <mergeCell ref="BF9:BF10"/>
    <mergeCell ref="Y10:AA10"/>
    <mergeCell ref="AB10:AD10"/>
    <mergeCell ref="AK10:AQ10"/>
    <mergeCell ref="AS10:AX10"/>
    <mergeCell ref="AY10:BD10"/>
    <mergeCell ref="AE10:AG10"/>
    <mergeCell ref="AH10:AJ10"/>
  </mergeCells>
  <dataValidations count="46">
    <dataValidation allowBlank="1" showInputMessage="1" showErrorMessage="1" prompt="Indique el año de cumplimiento de la meta." sqref="V11" xr:uid="{00000000-0002-0000-0000-000000000000}"/>
    <dataValidation allowBlank="1" showInputMessage="1" showErrorMessage="1" prompt="Diligenciar meses durante los cuales se realizará el seguimiento a los indicadores." sqref="A6:B7" xr:uid="{00000000-0002-0000-0000-000001000000}"/>
    <dataValidation allowBlank="1" showInputMessage="1" showErrorMessage="1" prompt="Describir la fuente de la cual se obtiene la información, soporte o evidencia." sqref="AA11 AD11 AG11:AJ11" xr:uid="{00000000-0002-0000-0000-00000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11 AC11 AF11" xr:uid="{00000000-0002-0000-0000-000003000000}"/>
    <dataValidation allowBlank="1" showInputMessage="1" showErrorMessage="1" prompt="Registre el resultado cuantitativo obtenido para la medición del indicador en el periodo correspondiente." sqref="Y11 AB11 AE11" xr:uid="{00000000-0002-0000-0000-000004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E11" xr:uid="{00000000-0002-0000-0000-000005000000}"/>
    <dataValidation allowBlank="1" showInputMessage="1" showErrorMessage="1" prompt="Cualquier aclaración o detalle adicional sobre el presupuesto." sqref="BD11" xr:uid="{00000000-0002-0000-0000-000006000000}"/>
    <dataValidation allowBlank="1" showInputMessage="1" showErrorMessage="1" prompt="Monto total ejecutado para el cumplimiento de la meta." sqref="BC11" xr:uid="{00000000-0002-0000-0000-000007000000}"/>
    <dataValidation allowBlank="1" showInputMessage="1" showErrorMessage="1" prompt="Monto total asignado para el proyecto." sqref="BB11" xr:uid="{00000000-0002-0000-0000-000008000000}"/>
    <dataValidation allowBlank="1" showInputMessage="1" showErrorMessage="1" prompt="Meta final que busca alcanzar el proyecto. " sqref="BA11" xr:uid="{00000000-0002-0000-0000-000009000000}"/>
    <dataValidation allowBlank="1" showInputMessage="1" showErrorMessage="1" prompt="Nombre oficial del proyecto. " sqref="AZ11" xr:uid="{00000000-0002-0000-0000-00000A000000}"/>
    <dataValidation allowBlank="1" showInputMessage="1" showErrorMessage="1" prompt="Identificador único del proyecto. " sqref="AY11" xr:uid="{00000000-0002-0000-0000-00000B000000}"/>
    <dataValidation allowBlank="1" showInputMessage="1" showErrorMessage="1" prompt="Indique a qué población está dirigida la intervención." sqref="J11" xr:uid="{00000000-0002-0000-0000-00000C000000}"/>
    <dataValidation allowBlank="1" showInputMessage="1" showErrorMessage="1" prompt="Asignar, según pestaña &quot;Cód y nombre dependencia&quot;" sqref="AS11:AT11 AW11:AX11" xr:uid="{00000000-0002-0000-0000-00000D000000}"/>
    <dataValidation allowBlank="1" showInputMessage="1" showErrorMessage="1" prompt="Especifique la Unidad responsable del reporte de la información." sqref="AU11:AV11" xr:uid="{00000000-0002-0000-0000-00000E000000}"/>
    <dataValidation allowBlank="1" showInputMessage="1" showErrorMessage="1" prompt="Según la desagregación territorial, indique las comunas o corregimientos del ámbito de intervención; puede ser uno o varios. " sqref="AR11" xr:uid="{00000000-0002-0000-0000-00000F000000}"/>
    <dataValidation allowBlank="1" showInputMessage="1" showErrorMessage="1" prompt="Asigne, según la PPPC." sqref="F11:G11" xr:uid="{00000000-0002-0000-0000-000010000000}"/>
    <dataValidation allowBlank="1" showInputMessage="1" showErrorMessage="1" prompt="Seleccione, según la PPPC." sqref="E11" xr:uid="{00000000-0002-0000-0000-000011000000}"/>
    <dataValidation allowBlank="1" showInputMessage="1" showErrorMessage="1" prompt="Seleccione la manera cómo se registran los avances en el indicador a lo largo del tiempo para su respectiva medición." sqref="X11" xr:uid="{00000000-0002-0000-0000-000012000000}"/>
    <dataValidation allowBlank="1" showInputMessage="1" showErrorMessage="1" prompt="Seleccione el comportamiento desado del indicador, en tres categorias: Incrementar, mantener o dismunuir." sqref="W11" xr:uid="{00000000-0002-0000-0000-000013000000}"/>
    <dataValidation allowBlank="1" showInputMessage="1" showErrorMessage="1" prompt="Año en el cual se obtuvo la línea base del indicador." sqref="S11" xr:uid="{00000000-0002-0000-0000-000014000000}"/>
    <dataValidation allowBlank="1" showInputMessage="1" showErrorMessage="1" prompt="Fecha o periodo en que se dispone del dato para su reporte a SIEM." sqref="Q11" xr:uid="{00000000-0002-0000-0000-000015000000}"/>
    <dataValidation allowBlank="1" showInputMessage="1" showErrorMessage="1" prompt="Fuente que produce o de la cual se extrae la información." sqref="N11" xr:uid="{00000000-0002-0000-0000-000016000000}"/>
    <dataValidation allowBlank="1" showInputMessage="1" showErrorMessage="1" prompt="Definición o explicación de las variables que hacen parte de la fórmula del indicador." sqref="M11" xr:uid="{00000000-0002-0000-0000-000017000000}"/>
    <dataValidation allowBlank="1" showInputMessage="1" showErrorMessage="1" prompt="Numerador y denominador que definen la forma de cálculo del indicador." sqref="L11" xr:uid="{00000000-0002-0000-0000-000018000000}"/>
    <dataValidation allowBlank="1" showInputMessage="1" showErrorMessage="1" prompt="Nivel al que corresponde el indicador." sqref="K11" xr:uid="{00000000-0002-0000-0000-000019000000}"/>
    <dataValidation allowBlank="1" showInputMessage="1" showErrorMessage="1" prompt="Manera cómo se medirá el producto. " sqref="I11" xr:uid="{00000000-0002-0000-0000-00001A000000}"/>
    <dataValidation allowBlank="1" showInputMessage="1" showErrorMessage="1" prompt="Escriba la Meta que se tienen programada." sqref="U11" xr:uid="{00000000-0002-0000-0000-00001B000000}"/>
    <dataValidation allowBlank="1" showInputMessage="1" showErrorMessage="1" prompt="Relacionar la medida en la cual se obtiene el resultado del indicador." sqref="O11" xr:uid="{00000000-0002-0000-0000-00001C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11" xr:uid="{00000000-0002-0000-0000-00001D000000}"/>
    <dataValidation allowBlank="1" showInputMessage="1" showErrorMessage="1" prompt="Frecuencia con la cual se debe calcular y registrar los resultados del indicador." sqref="P11" xr:uid="{00000000-0002-0000-0000-00001E000000}"/>
    <dataValidation allowBlank="1" showInputMessage="1" showErrorMessage="1" prompt="Debe coincidir con la unidad de medida del indicador para poder ser comparables." sqref="T11" xr:uid="{00000000-0002-0000-0000-00001F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11" xr:uid="{00000000-0002-0000-0000-000020000000}"/>
    <dataValidation allowBlank="1" showInputMessage="1" showErrorMessage="1" prompt="Se refiere al código consecutivo asignado." sqref="D11" xr:uid="{00000000-0002-0000-0000-000021000000}"/>
    <dataValidation allowBlank="1" showInputMessage="1" showErrorMessage="1" prompt="Seleccione" sqref="AK11 AM11" xr:uid="{00000000-0002-0000-0000-000022000000}"/>
    <dataValidation allowBlank="1" showInputMessage="1" showErrorMessage="1" prompt="Marque con una X" sqref="AL11 AN11:AQ11" xr:uid="{00000000-0002-0000-0000-000023000000}"/>
    <dataValidation allowBlank="1" showInputMessage="1" showErrorMessage="1" prompt="Por favor seleccionar el Programa de acuerdo al Pilar o Eje." sqref="B11" xr:uid="{00000000-0002-0000-0000-000024000000}"/>
    <dataValidation allowBlank="1" showInputMessage="1" showErrorMessage="1" prompt="Por favor elija el Pilar o Eje del PDD." sqref="A11" xr:uid="{00000000-0002-0000-0000-000025000000}"/>
    <dataValidation allowBlank="1" showInputMessage="1" showErrorMessage="1" prompt="Por favor seleccionar el Proyecto de acuerdo al Progama" sqref="C11" xr:uid="{00000000-0002-0000-0000-000026000000}"/>
    <dataValidation type="list" allowBlank="1" showInputMessage="1" showErrorMessage="1" sqref="D6:D7" xr:uid="{00000000-0002-0000-0000-000027000000}">
      <formula1>"Enero,Febrero,Marzo,Abril,Mayo,Junio,Julio,Agosto,Septiembre,Octubre,Noviembre,Diciembre"</formula1>
    </dataValidation>
    <dataValidation allowBlank="1" showErrorMessage="1" sqref="BE10" xr:uid="{00000000-0002-0000-0000-000028000000}"/>
    <dataValidation type="list" allowBlank="1" showInputMessage="1" showErrorMessage="1" sqref="E12:E61" xr:uid="{00000000-0002-0000-0000-000029000000}">
      <formula1>"Reconocimiento y confianza,Agenciamiento y modelos de representación,Gobernanza y gobernabilidad"</formula1>
    </dataValidation>
    <dataValidation type="list" allowBlank="1" showInputMessage="1" showErrorMessage="1" sqref="AM12:AM19 AM23:AM61" xr:uid="{00000000-0002-0000-0000-00002A000000}">
      <formula1>"0-5,6-11,12-18,14-26,27-59,60 años o más,Todas las edades"</formula1>
    </dataValidation>
    <dataValidation type="list" allowBlank="1" showInputMessage="1" showErrorMessage="1" sqref="AK12:AK19 AK23:AK61" xr:uid="{00000000-0002-0000-0000-00002B000000}">
      <formula1>"Femenino,Masculino,Femenino y masculino"</formula1>
    </dataValidation>
    <dataValidation type="list" allowBlank="1" showInputMessage="1" showErrorMessage="1" sqref="X12:X61" xr:uid="{00000000-0002-0000-0000-00002C000000}">
      <formula1>"Stock,Flujo,Capacidad,Acumulado,Reducción,Reducción periódica"</formula1>
    </dataValidation>
    <dataValidation type="list" allowBlank="1" showInputMessage="1" showErrorMessage="1" sqref="W12:W61" xr:uid="{00000000-0002-0000-0000-00002D000000}">
      <formula1>"Incrementar,Mantener,Disminuir"</formula1>
    </dataValidation>
  </dataValidations>
  <hyperlinks>
    <hyperlink ref="AA28" r:id="rId1" xr:uid="{00000000-0004-0000-0000-000000000000}"/>
    <hyperlink ref="AD28" r:id="rId2" xr:uid="{00000000-0004-0000-0000-000001000000}"/>
    <hyperlink ref="AA29" r:id="rId3" xr:uid="{00000000-0004-0000-0000-000002000000}"/>
    <hyperlink ref="AD29" r:id="rId4" xr:uid="{00000000-0004-0000-0000-000003000000}"/>
    <hyperlink ref="AA30" r:id="rId5" xr:uid="{00000000-0004-0000-0000-000004000000}"/>
    <hyperlink ref="AD30" r:id="rId6" xr:uid="{00000000-0004-0000-0000-000005000000}"/>
    <hyperlink ref="AD35" r:id="rId7" xr:uid="{00000000-0004-0000-0000-000006000000}"/>
    <hyperlink ref="AD36" r:id="rId8" xr:uid="{00000000-0004-0000-0000-000007000000}"/>
    <hyperlink ref="AA36" r:id="rId9" xr:uid="{00000000-0004-0000-0000-000008000000}"/>
    <hyperlink ref="AA38" r:id="rId10" xr:uid="{00000000-0004-0000-0000-000009000000}"/>
    <hyperlink ref="AD38" r:id="rId11" xr:uid="{00000000-0004-0000-0000-00000A000000}"/>
    <hyperlink ref="AD39" r:id="rId12" xr:uid="{00000000-0004-0000-0000-00000B000000}"/>
    <hyperlink ref="AA40" r:id="rId13" xr:uid="{00000000-0004-0000-0000-00000C000000}"/>
    <hyperlink ref="AD40" r:id="rId14" xr:uid="{00000000-0004-0000-0000-00000D000000}"/>
    <hyperlink ref="AJ28" r:id="rId15" xr:uid="{00000000-0004-0000-0000-00000E000000}"/>
    <hyperlink ref="AJ29" r:id="rId16" xr:uid="{00000000-0004-0000-0000-00000F000000}"/>
    <hyperlink ref="AJ30" r:id="rId17" xr:uid="{00000000-0004-0000-0000-000010000000}"/>
    <hyperlink ref="AJ31" r:id="rId18" xr:uid="{00000000-0004-0000-0000-000011000000}"/>
  </hyperlinks>
  <pageMargins left="0.7" right="0.7" top="0.75" bottom="0.75" header="0.3" footer="0.3"/>
  <pageSetup orientation="portrait" r:id="rId19"/>
  <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 Seguimiento 2025(2)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Patricia Echeverri Salazar</dc:creator>
  <cp:lastModifiedBy>Elida</cp:lastModifiedBy>
  <dcterms:created xsi:type="dcterms:W3CDTF">2025-07-15T15:08:05Z</dcterms:created>
  <dcterms:modified xsi:type="dcterms:W3CDTF">2026-02-03T12:58:04Z</dcterms:modified>
</cp:coreProperties>
</file>