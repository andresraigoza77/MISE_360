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showInkAnnotation="0"/>
  <mc:AlternateContent xmlns:mc="http://schemas.openxmlformats.org/markup-compatibility/2006">
    <mc:Choice Requires="x15">
      <x15ac:absPath xmlns:x15ac="http://schemas.microsoft.com/office/spreadsheetml/2010/11/ac" url="C:\PERSONAL\3. PARTICIPACIÓN CIUDADANA\2026\MISE\Enero\"/>
    </mc:Choice>
  </mc:AlternateContent>
  <xr:revisionPtr revIDLastSave="0" documentId="8_{CF9EA26B-A0A5-409E-8B9F-1EEDA49892CD}" xr6:coauthVersionLast="47" xr6:coauthVersionMax="47" xr10:uidLastSave="{00000000-0000-0000-0000-000000000000}"/>
  <bookViews>
    <workbookView xWindow="-110" yWindow="-110" windowWidth="19420" windowHeight="10420" xr2:uid="{00000000-000D-0000-FFFF-FFFF00000000}"/>
  </bookViews>
  <sheets>
    <sheet name="4. Seguimiento 2025 (2)" sheetId="1" r:id="rId1"/>
    <sheet name="Matriz de cambios" sheetId="2" r:id="rId2"/>
  </sheets>
  <externalReferences>
    <externalReference r:id="rId3"/>
  </externalReferences>
  <definedNames>
    <definedName name="_xlnm._FilterDatabase" localSheetId="0" hidden="1">'4. Seguimiento 2025 (2)'!$A$8:$AV$12</definedName>
    <definedName name="Meses">'[1]Listas desplegables'!$A$2:$A$13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T1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cristian mauricio herrera durango</author>
    <author>William Henry Oviedo Romo</author>
  </authors>
  <commentList>
    <comment ref="AF11" authorId="0" shapeId="0" xr:uid="{00000000-0006-0000-0000-000001000000}">
      <text>
        <r>
          <rPr>
            <b/>
            <sz val="9"/>
            <color indexed="81"/>
            <rFont val="Tahoma"/>
            <family val="2"/>
          </rPr>
          <t>cristian mauricio herrera durango:</t>
        </r>
        <r>
          <rPr>
            <sz val="9"/>
            <color indexed="81"/>
            <rFont val="Tahoma"/>
            <family val="2"/>
          </rPr>
          <t xml:space="preserve">
Nota: La preasamblea se desarrollará el 19 de octubre, donde se establecerá el proceso que se implementará para la asamblea.</t>
        </r>
      </text>
    </comment>
    <comment ref="AR12" authorId="1" shapeId="0" xr:uid="{00000000-0006-0000-0000-000002000000}">
      <text>
        <r>
          <rPr>
            <b/>
            <sz val="9"/>
            <color indexed="81"/>
            <rFont val="Tahoma"/>
            <family val="2"/>
          </rPr>
          <t>William Henry Oviedo Romo:</t>
        </r>
        <r>
          <rPr>
            <sz val="9"/>
            <color indexed="81"/>
            <rFont val="Tahoma"/>
            <family val="2"/>
          </rPr>
          <t xml:space="preserve">
La meta registrada corresponde al total de todo el proyecto para el 2025</t>
        </r>
      </text>
    </comment>
  </commentList>
</comments>
</file>

<file path=xl/sharedStrings.xml><?xml version="1.0" encoding="utf-8"?>
<sst xmlns="http://schemas.openxmlformats.org/spreadsheetml/2006/main" count="236" uniqueCount="155">
  <si>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</si>
  <si>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</si>
  <si>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</si>
  <si>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</si>
  <si>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Enero</t>
  </si>
  <si>
    <t>Periodo:</t>
  </si>
  <si>
    <t>A</t>
  </si>
  <si>
    <t>Diciembre</t>
  </si>
  <si>
    <t>Plan de Desarrollo Distrital</t>
  </si>
  <si>
    <t>Identificación general</t>
  </si>
  <si>
    <t>Características del Indicador</t>
  </si>
  <si>
    <t>Horizonte temporal</t>
  </si>
  <si>
    <t xml:space="preserve">Registro del seguimiento - trimestral							</t>
  </si>
  <si>
    <t>Responsables</t>
  </si>
  <si>
    <t>Seguimiento presupuestal</t>
  </si>
  <si>
    <t>Aprendizaje reflexivo</t>
  </si>
  <si>
    <t>Trimestre I - 2025</t>
  </si>
  <si>
    <t>Trimestre II- 2025</t>
  </si>
  <si>
    <t>Trimestre III- 2025</t>
  </si>
  <si>
    <t>Trimestre IV- 2025</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</si>
  <si>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</si>
  <si>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</si>
  <si>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</si>
  <si>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</si>
  <si>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</si>
  <si>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</si>
  <si>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</si>
  <si>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</si>
  <si>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Dimensión</t>
  </si>
  <si>
    <t>Subdimensión</t>
  </si>
  <si>
    <t xml:space="preserve"> Componente</t>
  </si>
  <si>
    <t>Producto</t>
  </si>
  <si>
    <t xml:space="preserve"> Indicador de Producto</t>
  </si>
  <si>
    <t>Población objetivo</t>
  </si>
  <si>
    <t>Tipo de Indicador</t>
  </si>
  <si>
    <t>Fórmula de cálculo</t>
  </si>
  <si>
    <t>Variables que componen la fórmula</t>
  </si>
  <si>
    <t>Fuente de datos</t>
  </si>
  <si>
    <t>Unidad de medida del indicador</t>
  </si>
  <si>
    <t>Periodicidad de cálculo del indicador</t>
  </si>
  <si>
    <t>Fecha/periodo de actualización</t>
  </si>
  <si>
    <t>Línea base</t>
  </si>
  <si>
    <t>Año base</t>
  </si>
  <si>
    <t>Unidad de medida de la línea base</t>
  </si>
  <si>
    <t>Meta del indicador</t>
  </si>
  <si>
    <t>Año meta</t>
  </si>
  <si>
    <t>Comportamiento deseado</t>
  </si>
  <si>
    <t>Tipo de acumulación</t>
  </si>
  <si>
    <t>Resultado</t>
  </si>
  <si>
    <t xml:space="preserve">Observaciones </t>
  </si>
  <si>
    <t>Fuente de verificacion</t>
  </si>
  <si>
    <t>Comunas-Corregimientos</t>
  </si>
  <si>
    <t>Código Dependencia Responsable (reporte)</t>
  </si>
  <si>
    <t>Nombre Dependencia Responsable (reporte)</t>
  </si>
  <si>
    <t>Unidad responsable del reporte</t>
  </si>
  <si>
    <t>Código Dependencia Responsable (misional)</t>
  </si>
  <si>
    <t>Nombre Dependencia Responsable (misional)</t>
  </si>
  <si>
    <t xml:space="preserve">Código del Proyecto 
</t>
  </si>
  <si>
    <t>Nombre del Proyecto</t>
  </si>
  <si>
    <t>Meta del Proyecto</t>
  </si>
  <si>
    <t xml:space="preserve">Presupuesto programado </t>
  </si>
  <si>
    <t>Presupuesto ejecutado</t>
  </si>
  <si>
    <t>Observaciones Presupuesto</t>
  </si>
  <si>
    <t>Observaciones seguimiento</t>
  </si>
  <si>
    <t>Formar en escenarios, mecanismos de participación ciudadana, y en la Política Pública de Infancia y Adolescencia, a NNA de todas las comunas y corregimientos del Distrito.</t>
  </si>
  <si>
    <t>Agenciamiento y modelos de representación</t>
  </si>
  <si>
    <t>Habilidades y competencias para el ejercicio de la ciudadanía y los liderazgos</t>
  </si>
  <si>
    <t>Formación para la ciudadanía activa</t>
  </si>
  <si>
    <t>Indicador de Producto</t>
  </si>
  <si>
    <t>V1</t>
  </si>
  <si>
    <t>Estadística</t>
  </si>
  <si>
    <t>Número</t>
  </si>
  <si>
    <t>Acumulado</t>
  </si>
  <si>
    <t xml:space="preserve">En el primer trimestre las NNA que participan de los espacios, no cumplen los criterios para caracterización . </t>
  </si>
  <si>
    <t>16 Comunas
5 Corregimientos</t>
  </si>
  <si>
    <t>Secretaría de Inclusión Social y Familia</t>
  </si>
  <si>
    <t>Unidad de Niñez</t>
  </si>
  <si>
    <t xml:space="preserve">PROTECCIÓN INTEGRAL DE LA INFANCIA Y LA ADOLESCENCIA </t>
  </si>
  <si>
    <t xml:space="preserve">Generar acciones de participación ciudadana e incidencia política desde las propuestas de NNA de todas las comunas y corregimientos del Distrito, en el marco de la Política Pública de Infancia y Adolescencia. </t>
  </si>
  <si>
    <t>Agenciamiento ciudadano e interés en los asuntos públicos</t>
  </si>
  <si>
    <t>Promoción y comunicación para la Movilización y la participación ciudadana</t>
  </si>
  <si>
    <t>Matriz de incidencia</t>
  </si>
  <si>
    <t xml:space="preserve">En el período no se han reportado acciones de incidencia. </t>
  </si>
  <si>
    <t>Implementar propuestas público - privadas que potencien la participación y la incidencia efectiva en la toma de decisiones de niños, niñas, adolescentes desde la gestación.</t>
  </si>
  <si>
    <t>Gobernanza y gobernabilidad</t>
  </si>
  <si>
    <t>Apoyo público-administrativo a la participación ciudadana</t>
  </si>
  <si>
    <t>Doc-Asamblea</t>
  </si>
  <si>
    <t>Esta acción se desarrolla al finalizar el año.</t>
  </si>
  <si>
    <t>Promover la participación de la ciudadanía en espacios de articulación, análisis, asistencia técnica y divulgación de la Política Pública de Discapacidad</t>
  </si>
  <si>
    <t>Articulación interinstitucional</t>
  </si>
  <si>
    <t>Coordinación, sinergias y alianzas para el fortalecimiento a la ciudadanía</t>
  </si>
  <si>
    <t>Número de personas que participan en espacios de la Política Pública de Discapacidad y Política Pública de Personas Cuidadoras</t>
  </si>
  <si>
    <t>V1: Número de personas que participan en espacios de articulación, análisis, asistencia técnica y divulgación de la Política Pública de Discapacidad y la Política Pública de Personas Cuidadoras</t>
  </si>
  <si>
    <t>Bases de Datos
Reportes Estadísticos</t>
  </si>
  <si>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</si>
  <si>
    <t>EQUIPO DE DISCAPACIDAD</t>
  </si>
  <si>
    <t xml:space="preserve">Fortalecimiento de la autonomía, participación e inclusión social de las personas con discapacidad, personas cuidadoras y familiares
</t>
  </si>
  <si>
    <t xml:space="preserve">El indicador 2,2,5,3 tiene una participación de un 10% dentro del proyecto 24001; en esta misma proporción se tomaron los valores para las columnas Presupuesto programado y Presupuesto ejecutado.
</t>
  </si>
  <si>
    <t>Actualmente, el proceso de los Consejos de Participación de Infancia y Adolescencia se encuentra en fase de reactivación, motivo por el cual no se ha evidenciado avance en el indicador. Ya se está estableciendo comunicación con los consejeros para retomar su participación, y se tiene previsto iniciar los encuentros en las distintas comunas durante el mes de agosto, como parte del plan de trabajo orientado al cumplimiento de las metas establecidas.</t>
  </si>
  <si>
    <t>Durante este periodo no se han reportado avances, ya que el proceso de los Consejos de Participación se encuentra en fase de reactivación. Una vez se inicien los encuentros, se reportarán las acciones de participación ciudadana e incidencia política propuestas por las niñas, niños y adolescentes.</t>
  </si>
  <si>
    <t>Esta acción la desarrolla la Unidad de Niñez 1 vez al año y se realiza al final del mismo.</t>
  </si>
  <si>
    <t xml:space="preserve">Listados de asistencia 
Registro fotográfico 
 </t>
  </si>
  <si>
    <t xml:space="preserve">Cada consejo territorial desarrolla acciones cívicas e iniciativas locales de incidencia, formuladas por los propios niñas, niños y adolescentes a partir del análisis de problemáticas de su entorno. Estas acciones responden a intereses comunitarios y a la construcción de soluciones desde la visión de la infancia, permitiendo experiencias significativas como: la recuperación de puntos críticos de basuras en la Comuna 1 en alianza con Emvarias, o el recorrido pedagógico en la Comuna 10 en rechazo a la ESCNNA, actividades que fortalecen la apropiación del territorio y la corresponsabilidad ciudadana. Para el periodo 2025 se desarrollarán 23 acciones cívicas. </t>
  </si>
  <si>
    <t xml:space="preserve">Actualmente se está trabajando en la planeación de la Asamblea anual que se llevará a cabo el 8 de noviembre de 2025 </t>
  </si>
  <si>
    <t>El proceso de Consejos de Participación de Infancia y Adolescencia, implementado a través de la metodología “La Cantera”, dio continuidad durante este año con la conformación de 23 grupos en todas las comunas y corregimientos del Distrito.
Se tienen proyectadas 10 sesiones, de las cuales se han desarrollado 4. Una vez las niñas, niños y adolescentes completen el quinto encuentro, se realizará el correspondiente reporte de seguimiento.
Las sesiones han estado orientadas al fortalecimiento de competencias en democracia, participación política, liderazgo inspiracional y plan de desarrollo local, e incluyen el desarrollo de habilidades blandas como el trabajo en equipo y el autoconocimiento.</t>
  </si>
  <si>
    <t>Ajustes</t>
  </si>
  <si>
    <t>Niñas, niños y adolescentes (NNA)</t>
  </si>
  <si>
    <t>Trimestral</t>
  </si>
  <si>
    <r>
      <t xml:space="preserve">Se amplía para precisar el contexto </t>
    </r>
    <r>
      <rPr>
        <b/>
        <sz val="11"/>
        <color theme="1"/>
        <rFont val="Calibri"/>
        <family val="2"/>
        <scheme val="minor"/>
      </rPr>
      <t>público-privado</t>
    </r>
    <r>
      <rPr>
        <sz val="11"/>
        <color theme="1"/>
        <rFont val="Calibri"/>
        <family val="2"/>
        <scheme val="minor"/>
      </rPr>
      <t xml:space="preserve"> y la cobertura territorial, reforzando la vinculación con el producto que busca </t>
    </r>
    <r>
      <rPr>
        <b/>
        <sz val="11"/>
        <color theme="1"/>
        <rFont val="Calibri"/>
        <family val="2"/>
        <scheme val="minor"/>
      </rPr>
      <t>implementar propuestas de participación articuladas entre actores institucionales y comunitarios.</t>
    </r>
  </si>
  <si>
    <t>Creciente</t>
  </si>
  <si>
    <t>Anual</t>
  </si>
  <si>
    <t>Cod indicador</t>
  </si>
  <si>
    <t>460, 461 y 462</t>
  </si>
  <si>
    <r>
      <t>Se amplía la descripción para precisar el ámbito territorial (</t>
    </r>
    <r>
      <rPr>
        <b/>
        <sz val="11"/>
        <color theme="1"/>
        <rFont val="Calibri"/>
        <family val="2"/>
        <scheme val="minor"/>
      </rPr>
      <t>comunas y corregimientos</t>
    </r>
    <r>
      <rPr>
        <sz val="11"/>
        <color theme="1"/>
        <rFont val="Calibri"/>
        <family val="2"/>
        <scheme val="minor"/>
      </rPr>
      <t>) y el carácter ciudadano de las acciones, fortaleciendo la claridad operativa y la alineación con el producto.</t>
    </r>
  </si>
  <si>
    <r>
      <t>El nuevo nombre incluye la formación en “</t>
    </r>
    <r>
      <rPr>
        <b/>
        <sz val="11"/>
        <color theme="1"/>
        <rFont val="Calibri"/>
        <family val="2"/>
        <scheme val="minor"/>
      </rPr>
      <t>habilidades de liderazgo y ciudadanía</t>
    </r>
    <r>
      <rPr>
        <sz val="11"/>
        <color theme="1"/>
        <rFont val="Calibri"/>
        <family val="2"/>
        <scheme val="minor"/>
      </rPr>
      <t>”, que conecta directamente con la subdimensión y con el propósito de fortalecer el ejercicio de la participación y el agenciamiento</t>
    </r>
  </si>
  <si>
    <t>Justificación del ajuste realizado</t>
  </si>
  <si>
    <t>Niñas, niños y adolescentes formados en habilidades de liderazgo y ciudadanía en los Consejos de Participación de Infancia y Adolescencia</t>
  </si>
  <si>
    <r>
      <t xml:space="preserve">Se ajusta la variable V1 para incorporar el componente de </t>
    </r>
    <r>
      <rPr>
        <b/>
        <sz val="11"/>
        <color theme="1"/>
        <rFont val="Calibri"/>
        <family val="2"/>
        <scheme val="minor"/>
      </rPr>
      <t>ciudadanía</t>
    </r>
    <r>
      <rPr>
        <sz val="11"/>
        <color theme="1"/>
        <rFont val="Calibri"/>
        <family val="2"/>
        <scheme val="minor"/>
      </rPr>
      <t xml:space="preserve"> junto al </t>
    </r>
    <r>
      <rPr>
        <b/>
        <sz val="11"/>
        <color theme="1"/>
        <rFont val="Calibri"/>
        <family val="2"/>
        <scheme val="minor"/>
      </rPr>
      <t>liderazgo</t>
    </r>
    <r>
      <rPr>
        <sz val="11"/>
        <color theme="1"/>
        <rFont val="Calibri"/>
        <family val="2"/>
        <scheme val="minor"/>
      </rPr>
      <t>, con el fin de reflejar de manera integral las competencias que se fortalecen en los Consejos de Participación de Infancia y Adolescencia</t>
    </r>
  </si>
  <si>
    <r>
      <t>Se ajusta a "</t>
    </r>
    <r>
      <rPr>
        <b/>
        <sz val="11"/>
        <color theme="1"/>
        <rFont val="Calibri"/>
        <family val="2"/>
        <scheme val="minor"/>
      </rPr>
      <t>Creciente</t>
    </r>
    <r>
      <rPr>
        <sz val="11"/>
        <color theme="1"/>
        <rFont val="Calibri"/>
        <family val="2"/>
        <scheme val="minor"/>
      </rPr>
      <t>" de acuerdo a las variables que se manejan en la ficha metodológica del Plan de Desarrollo</t>
    </r>
  </si>
  <si>
    <r>
      <t>Se reemplaza “Acciones de incidencia lideradas por los consejos de participación” por “Acciones de incidencia ciudadana lideradas por las niñas, niños y adolescentes de los Consejos de Participación de Infancia y Adolescencia” para especificar el tipo de incidencia (ciudadana) y nombrar explícitamente el espacio formal de participación reconocido por la Política Pública.
Esto mejora la trazabilidad y coherencia con el producto y la subdimensión “</t>
    </r>
    <r>
      <rPr>
        <b/>
        <sz val="11"/>
        <color theme="1"/>
        <rFont val="Calibri"/>
        <family val="2"/>
        <scheme val="minor"/>
      </rPr>
      <t>Agenciamiento ciudadano e interés en los asuntos públicos</t>
    </r>
    <r>
      <rPr>
        <sz val="11"/>
        <color theme="1"/>
        <rFont val="Calibri"/>
        <family val="2"/>
        <scheme val="minor"/>
      </rPr>
      <t>”, que promueve la participación efectiva de los NNA en la vida pública.</t>
    </r>
  </si>
  <si>
    <t>Acciones de incidencia ciudadana lideradas por las niñas, niños y adolescentes de los Consejos de Participación de Infancia y Adolescencia</t>
  </si>
  <si>
    <t>V1: Total de niñas, niños y adolescentes formados en habilidades de liderazgo y ciudadanía en los Consejos de Participación de Infancia y Adolescencia</t>
  </si>
  <si>
    <t>V1: Total de acciones de incidencia lideradas por las niñas, niños y adolescentes de los Consejos de Participación de Infancia y Adolescencia en las comunas y corregimientos del Distrito</t>
  </si>
  <si>
    <t>Se ajusta para incluir expresamente que las asambleas son de Niñas, Niños y Adolescentes, alineado con la denominación legal (Ley 1098 de 2006), y se menciona su relación con la Política Pública de Infancia y Adolescencia, fortaleciendo su identificación institucional.</t>
  </si>
  <si>
    <t>Asamblea de Niñas, Niños y Adolescentes realizada en el marco de la Política Pública de Infancia y Adolescencia</t>
  </si>
  <si>
    <t>V1: Asamblea de Niñas, Niños y Adolescentes desarrollada en articulación público-privada en las comunas y corregimientos del Distrito</t>
  </si>
  <si>
    <r>
      <t xml:space="preserve">Se modifica la periodicidad de cálculo del indicador de "largo plazo" a </t>
    </r>
    <r>
      <rPr>
        <b/>
        <sz val="11"/>
        <color theme="1"/>
        <rFont val="Calibri"/>
        <family val="2"/>
        <scheme val="minor"/>
      </rPr>
      <t xml:space="preserve">trimestral/anual </t>
    </r>
    <r>
      <rPr>
        <sz val="11"/>
        <color theme="1"/>
        <rFont val="Calibri"/>
        <family val="2"/>
        <scheme val="minor"/>
      </rPr>
      <t xml:space="preserve"> de acuerdo con las opciones establecidas en el instructivo</t>
    </r>
  </si>
  <si>
    <t>Stock</t>
  </si>
  <si>
    <r>
      <t>Se ajusta el tipo de acumulación a "</t>
    </r>
    <r>
      <rPr>
        <b/>
        <sz val="11"/>
        <color theme="1"/>
        <rFont val="Calibri"/>
        <family val="2"/>
        <scheme val="minor"/>
      </rPr>
      <t>Mantenimiento (Stock)</t>
    </r>
    <r>
      <rPr>
        <sz val="11"/>
        <color theme="1"/>
        <rFont val="Calibri"/>
        <family val="2"/>
        <scheme val="minor"/>
      </rPr>
      <t>" de acuerdo a las opciones establecidas en el instructivo</t>
    </r>
  </si>
  <si>
    <t>Mensual</t>
  </si>
  <si>
    <t>460, 461, 462 y 464</t>
  </si>
  <si>
    <t>Se hace corrección de acuerdo a la información del Plan de Desarrollo, Pilar 2 :Creemos en una ciudad saludable, justa, diversa e incluyente</t>
  </si>
  <si>
    <t xml:space="preserve"> Pilar 2 :Creemos en una ciudad saludable, justa, diversa e incluyente</t>
  </si>
  <si>
    <t>2.2.5.. Autonomía e inclusión de las personas con discapacidad</t>
  </si>
  <si>
    <t>2.2.3..Medellín, entorno protector de la infancia y la adolescencia</t>
  </si>
  <si>
    <t>Se hace corrección de acuerdo a la información del Plan de Desarrollo. Para los indicadores 460, 461 y 462 , el programa: 2.2.3..Medellín, entorno protector de la infancia y la adolescencia; y para el indicador 464, el programa 2.2.5.. Autonomía e inclusión de las personas con discapacidad</t>
  </si>
  <si>
    <t>460, 461,462 y 464</t>
  </si>
  <si>
    <r>
      <t>Se modifica la periodicidad de cálculo del indicador de "corto plazo" a mensual</t>
    </r>
    <r>
      <rPr>
        <b/>
        <sz val="11"/>
        <color theme="1"/>
        <rFont val="Calibri"/>
        <family val="2"/>
        <scheme val="minor"/>
      </rPr>
      <t xml:space="preserve"> </t>
    </r>
    <r>
      <rPr>
        <sz val="11"/>
        <color theme="1"/>
        <rFont val="Calibri"/>
        <family val="2"/>
        <scheme val="minor"/>
      </rPr>
      <t xml:space="preserve"> de acuerdo con las opciones establecidas en el instructivo</t>
    </r>
  </si>
  <si>
    <t>461 y 464</t>
  </si>
  <si>
    <t xml:space="preserve">460 y 462 </t>
  </si>
  <si>
    <t xml:space="preserve">Se modifica en el primer y segundo trimestre la fuente de verificacion "NA" por Bases de Datos  y Reportes Estadísticos - Listados de asistencia , respectivamente
Registro fotográfico 
 </t>
  </si>
  <si>
    <t>Se ajusta el valor de la linea base para el 461 de 1 a 21 Acciones de incidencia y para el 464 : para este indicador se tenia como linea base, la suma total de cuatrenio anterior (7.146), se ajusta como línea base el promedio de las tres primeros años del mismo periodo(1.148) .</t>
  </si>
  <si>
    <t>Ciudadanía</t>
  </si>
  <si>
    <t>Estaba medido en porcentaje, se pasa a número.</t>
  </si>
  <si>
    <t>El término “niñas, niños y adolescentes” se utiliza conforme a la Ley 1098 de 2006, reconociendo la diversidad de experiencias comprendidas en las infancias y adolescencias del Distrito. Se cambian instancias de participación por ciudadanía.</t>
  </si>
  <si>
    <t>Paso de 100% a 23</t>
  </si>
  <si>
    <t>56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  No obstante, dicho logro está en coherencia con el plan de trabajo al 31 de diciembre de 2025.</t>
  </si>
  <si>
    <t>En lo corrido de la vigencia 2025, un total de 1.069 personas (149 hombres, 918 mujeres, indefinido 1 e intersexual 1), han participado en asistencias técnicas a través de instancias de participación, Comités Técnicos de las políticas públicas de Discapacidad y Cuidadores, encuentros de fortalecimiento, gestión y planeación, asamblea de líderes, mesas de trabajo y reuniones de articulación, favoreciendo el ejercicio de derechos, la participación e incidencia de las personas con discapacidad y sus cuidadores.
En el tercer trimestre la participación fue de 1013 personas.</t>
  </si>
  <si>
    <t>La asamblea de niñas, niños y adolescentes se llevó a cabo en el mes de noviembre</t>
  </si>
  <si>
    <t xml:space="preserve">
Del total del proyecto 240030 se asignó un recurso de $ 433.528.838  para desarrollar el proceso de Consejos de Participación de Infancia y Adolescencia, que actualmente se está ejecutando a través de la Secretaría de la Juventud. Hasta diciembre se ejecutaron $ 217.937.650</t>
  </si>
  <si>
    <t>Del total proyecto 240030 se destinarán $ 46.000.000 para ejecutar las 23 acciones de incidencia, cabe resaltar que para cada acción de incidencia se tiene un presupuesto de $2.000.000.
Hasta diciembre se enecutaron $44.000.000</t>
  </si>
  <si>
    <t>Del total proyecto 240030 se destinaron $10.000.000 para el desarrollo de la Asamblea de Infancias y Adolescencias. 
Hasta diciembre se ejecutaron $10.000.000</t>
  </si>
  <si>
    <t xml:space="preserve">
Durante el periodo de reporte se ejecutaron las sesiones programadas, logrando la formación de 409 niñas, niños y adolescentes de los 23 grupos de comunas y corregimientos del Distrito. La diferencia frente a la meta proyectada (440) obedece a movilidad poblacional y a la discontinuidad en la asistencia durante el cierre del calendario escolar.</t>
  </si>
  <si>
    <t xml:space="preserve">
En el periodo se desarrollaron 16 iniciativas, alcanzando un total anual de 22 acciones cívicas. En relación con la meta anual de 23 iniciativas, una acción fue reprogramada para enero de 2026 como parte de ajustes operativos y de reprogramación territorial.</t>
  </si>
  <si>
    <t xml:space="preserve">Para la vigencia 2025, un total de 1.263 personas participaron en asistencias técnicas a través de instancias de participación, comités técnicos de las políticas públicas de Discapacidad y Cuidadores, encuentros de fortalecimiento, gestión y planeación, asambleas de líderes, mesas de trabajo y reuniones de articulación, promoviendo el ejercicio de derechos, la participación y la incidencia de las personas con discapacidad y sus cuidadores.
Nota aclaratoria:  Este indicador presenta modificaciones en los reportes conforme a directriz de revisión y ajuste (eliminacion de registros duplicados).  En consecuencia, se presentan variaciones en los reportes de los trimestres anteriores, los cuales han sido debidamente ajustados.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</si>
</sst>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9" x14ac:knownFonts="1">
    <font>
      <sz val="11"/>
      <color theme="1"/>
      <name val="Calibri"/>
      <family val="2"/>
      <scheme val="minor"/>
    </font>
    <font>
      <sz val="11"/>
      <color theme="1"/>
      <name val="Calibri"/>
      <family val="2"/>
      <scheme val="minor"/>
    </font>
    <font>
      <b/>
      <sz val="14"/>
      <color rgb="FFFFFFFF"/>
      <name val="Arial"/>
      <family val="2"/>
    </font>
    <font>
      <sz val="10"/>
      <color theme="0"/>
      <name val="Arial"/>
      <family val="2"/>
    </font>
    <font>
      <sz val="10"/>
      <color theme="1"/>
      <name val="Arial"/>
      <family val="2"/>
    </font>
    <font>
      <b/>
      <sz val="10"/>
      <color theme="0"/>
      <name val="Arial"/>
      <family val="2"/>
    </font>
    <font>
      <sz val="10"/>
      <color rgb="FF000000"/>
      <name val="Arial"/>
      <family val="2"/>
    </font>
    <font>
      <sz val="10"/>
      <name val="Arial"/>
      <family val="2"/>
    </font>
    <font>
      <b/>
      <sz val="10"/>
      <color rgb="FFFFFFFF"/>
      <name val="Arial"/>
      <family val="2"/>
    </font>
    <font>
      <sz val="10"/>
      <color rgb="FF000000"/>
      <name val="Calibri"/>
      <family val="2"/>
      <scheme val="minor"/>
    </font>
    <font>
      <b/>
      <sz val="9"/>
      <color indexed="81"/>
      <name val="Tahoma"/>
      <family val="2"/>
    </font>
    <font>
      <sz val="9"/>
      <color indexed="81"/>
      <name val="Tahoma"/>
      <family val="2"/>
    </font>
    <font>
      <b/>
      <sz val="11"/>
      <color theme="1"/>
      <name val="Calibri"/>
      <family val="2"/>
      <scheme val="minor"/>
    </font>
    <font>
      <sz val="10"/>
      <color theme="4"/>
      <name val="Arial"/>
      <family val="2"/>
    </font>
    <font>
      <sz val="11"/>
      <name val="Calibri"/>
      <family val="2"/>
      <scheme val="minor"/>
    </font>
    <font>
      <b/>
      <sz val="11"/>
      <color theme="0" tint="-4.9989318521683403E-2"/>
      <name val="Calibri"/>
      <family val="2"/>
      <scheme val="minor"/>
    </font>
    <font>
      <sz val="10"/>
      <color theme="8" tint="-0.499984740745262"/>
      <name val="Arial"/>
      <family val="2"/>
    </font>
    <font>
      <sz val="10"/>
      <color rgb="FF0070C0"/>
      <name val="Arial"/>
      <family val="2"/>
    </font>
    <font>
      <sz val="10"/>
      <color rgb="FF0070C0"/>
      <name val="Calibri"/>
      <family val="2"/>
      <scheme val="minor"/>
    </font>
  </fonts>
  <fills count="9">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rgb="FF215967"/>
        <bgColor indexed="64"/>
      </patternFill>
    </fill>
    <fill>
      <patternFill patternType="solid">
        <fgColor rgb="FF215967"/>
        <bgColor rgb="FF000000"/>
      </patternFill>
    </fill>
    <fill>
      <patternFill patternType="solid">
        <fgColor theme="9" tint="0.79998168889431442"/>
        <bgColor indexed="64"/>
      </patternFill>
    </fill>
    <fill>
      <patternFill patternType="solid">
        <fgColor theme="4" tint="-0.499984740745262"/>
        <bgColor indexed="64"/>
      </patternFill>
    </fill>
    <fill>
      <patternFill patternType="solid">
        <fgColor theme="7"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indexed="64"/>
      </right>
      <top/>
      <bottom style="thin">
        <color indexed="64"/>
      </bottom>
      <diagonal/>
    </border>
    <border>
      <left/>
      <right style="thin">
        <color indexed="64"/>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s>
  <cellStyleXfs count="3">
    <xf numFmtId="0" fontId="0" fillId="0" borderId="0"/>
    <xf numFmtId="44" fontId="1" fillId="0" borderId="0" applyFont="0" applyFill="0" applyBorder="0" applyAlignment="0" applyProtection="0"/>
    <xf numFmtId="0" fontId="7" fillId="0" borderId="0"/>
  </cellStyleXfs>
  <cellXfs count="61">
    <xf numFmtId="0" fontId="0" fillId="0" borderId="0" xfId="0"/>
    <xf numFmtId="0" fontId="4" fillId="0" borderId="0" xfId="0" applyFont="1" applyAlignment="1">
      <alignment wrapText="1"/>
    </xf>
    <xf numFmtId="0" fontId="5" fillId="3" borderId="0" xfId="0" applyFont="1" applyFill="1" applyAlignment="1" applyProtection="1">
      <alignment vertical="center" wrapText="1"/>
      <protection hidden="1"/>
    </xf>
    <xf numFmtId="0" fontId="5" fillId="2" borderId="1"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wrapText="1"/>
      <protection hidden="1"/>
    </xf>
    <xf numFmtId="0" fontId="6" fillId="3" borderId="5" xfId="0" applyFont="1" applyFill="1" applyBorder="1" applyAlignment="1" applyProtection="1">
      <alignment horizontal="center" vertical="center" wrapText="1"/>
      <protection hidden="1"/>
    </xf>
    <xf numFmtId="0" fontId="6" fillId="3" borderId="0" xfId="0" applyFont="1" applyFill="1" applyAlignment="1" applyProtection="1">
      <alignment horizontal="center" vertical="center" wrapText="1"/>
      <protection hidden="1"/>
    </xf>
    <xf numFmtId="0" fontId="3" fillId="3" borderId="0" xfId="0" applyFont="1" applyFill="1" applyAlignment="1" applyProtection="1">
      <alignment vertical="center" wrapText="1"/>
      <protection hidden="1"/>
    </xf>
    <xf numFmtId="0" fontId="4" fillId="3" borderId="0" xfId="0" applyFont="1" applyFill="1" applyAlignment="1">
      <alignment wrapText="1"/>
    </xf>
    <xf numFmtId="0" fontId="5" fillId="4" borderId="1" xfId="0" applyFont="1" applyFill="1" applyBorder="1" applyAlignment="1" applyProtection="1">
      <alignment horizontal="center" vertical="center" wrapText="1"/>
      <protection hidden="1"/>
    </xf>
    <xf numFmtId="0" fontId="5" fillId="4" borderId="1" xfId="2"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applyAlignment="1">
      <alignment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1" applyNumberFormat="1" applyFont="1" applyBorder="1" applyAlignment="1">
      <alignment vertical="center" wrapText="1"/>
    </xf>
    <xf numFmtId="0" fontId="4" fillId="0" borderId="0" xfId="0" applyFont="1" applyAlignment="1">
      <alignment vertical="center"/>
    </xf>
    <xf numFmtId="0" fontId="4" fillId="0" borderId="0" xfId="0" applyFont="1" applyAlignment="1">
      <alignment vertical="center" wrapText="1"/>
    </xf>
    <xf numFmtId="0" fontId="6" fillId="0" borderId="1" xfId="0" applyFont="1" applyBorder="1" applyAlignment="1">
      <alignment horizontal="justify" vertical="center" wrapText="1"/>
    </xf>
    <xf numFmtId="0" fontId="6" fillId="6" borderId="1" xfId="0" applyFont="1" applyFill="1" applyBorder="1" applyAlignment="1">
      <alignment vertical="center" wrapText="1"/>
    </xf>
    <xf numFmtId="0" fontId="6" fillId="6" borderId="1" xfId="0" applyFont="1" applyFill="1" applyBorder="1" applyAlignment="1">
      <alignment horizontal="justify" vertical="center" wrapText="1"/>
    </xf>
    <xf numFmtId="14" fontId="6" fillId="0" borderId="1" xfId="0" applyNumberFormat="1"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6" fillId="6"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0" fillId="0" borderId="12" xfId="0" applyBorder="1" applyAlignment="1">
      <alignment wrapText="1"/>
    </xf>
    <xf numFmtId="0" fontId="15" fillId="7" borderId="11" xfId="0" applyFont="1" applyFill="1" applyBorder="1" applyAlignment="1">
      <alignment horizontal="center" vertical="center" wrapText="1"/>
    </xf>
    <xf numFmtId="0" fontId="15" fillId="7" borderId="11" xfId="0" applyFont="1" applyFill="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0" fillId="0" borderId="12" xfId="0" applyBorder="1" applyAlignment="1">
      <alignment vertical="top" wrapText="1"/>
    </xf>
    <xf numFmtId="0" fontId="0" fillId="0" borderId="0" xfId="0" applyAlignment="1">
      <alignment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vertical="center"/>
    </xf>
    <xf numFmtId="0" fontId="14" fillId="0" borderId="12" xfId="0" applyFont="1" applyBorder="1" applyAlignment="1">
      <alignment vertical="top" wrapText="1"/>
    </xf>
    <xf numFmtId="0" fontId="17" fillId="0" borderId="1" xfId="0" applyFont="1" applyFill="1" applyBorder="1" applyAlignment="1">
      <alignment vertical="center" wrapText="1"/>
    </xf>
    <xf numFmtId="0" fontId="17"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18" fillId="0" borderId="9" xfId="0" applyFont="1" applyBorder="1" applyAlignment="1">
      <alignment horizontal="center" vertical="center"/>
    </xf>
    <xf numFmtId="0" fontId="6" fillId="8" borderId="1" xfId="0" applyFont="1" applyFill="1" applyBorder="1" applyAlignment="1">
      <alignment vertical="center" wrapText="1"/>
    </xf>
    <xf numFmtId="0" fontId="6" fillId="8" borderId="1" xfId="0" applyFont="1" applyFill="1" applyBorder="1" applyAlignment="1">
      <alignment horizontal="center" vertical="center" wrapText="1"/>
    </xf>
    <xf numFmtId="0" fontId="7" fillId="8" borderId="1" xfId="0" applyFont="1" applyFill="1" applyBorder="1" applyAlignment="1">
      <alignment vertical="center" wrapText="1"/>
    </xf>
    <xf numFmtId="164" fontId="6" fillId="8" borderId="1" xfId="1" applyNumberFormat="1" applyFont="1" applyFill="1" applyBorder="1" applyAlignment="1">
      <alignment vertical="center" wrapText="1"/>
    </xf>
    <xf numFmtId="164" fontId="6" fillId="3" borderId="1" xfId="1" applyNumberFormat="1" applyFont="1" applyFill="1" applyBorder="1" applyAlignment="1">
      <alignmen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3" borderId="2"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5" xfId="0" applyFont="1" applyFill="1" applyBorder="1" applyAlignment="1" applyProtection="1">
      <alignment horizontal="center" vertical="center" wrapText="1"/>
      <protection hidden="1"/>
    </xf>
    <xf numFmtId="0" fontId="5" fillId="3" borderId="1"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2" borderId="1" xfId="0" applyFont="1" applyFill="1" applyBorder="1" applyAlignment="1" applyProtection="1">
      <alignment horizontal="center" vertical="center" wrapText="1"/>
      <protection hidden="1"/>
    </xf>
    <xf numFmtId="0" fontId="5" fillId="4" borderId="1" xfId="0" applyFont="1" applyFill="1" applyBorder="1" applyAlignment="1" applyProtection="1">
      <alignment horizontal="center" vertical="center" wrapText="1"/>
      <protection hidden="1"/>
    </xf>
    <xf numFmtId="0" fontId="5" fillId="4" borderId="1" xfId="2" applyFont="1" applyFill="1" applyBorder="1" applyAlignment="1">
      <alignment horizontal="center" vertical="center" wrapText="1"/>
    </xf>
    <xf numFmtId="0" fontId="8" fillId="5" borderId="4" xfId="0" applyFont="1" applyFill="1" applyBorder="1" applyAlignment="1" applyProtection="1">
      <alignment horizontal="center" vertical="center" wrapText="1"/>
      <protection hidden="1"/>
    </xf>
    <xf numFmtId="0" fontId="8" fillId="5" borderId="8" xfId="0" applyFont="1" applyFill="1" applyBorder="1" applyAlignment="1" applyProtection="1">
      <alignment horizontal="center" vertical="center" wrapText="1"/>
      <protection hidden="1"/>
    </xf>
    <xf numFmtId="0" fontId="5" fillId="4" borderId="1" xfId="0" applyFont="1" applyFill="1" applyBorder="1" applyAlignment="1">
      <alignment horizontal="center" vertical="center" wrapText="1"/>
    </xf>
  </cellXfs>
  <cellStyles count="3">
    <cellStyle name="Moneda" xfId="1" builtinId="4"/>
    <cellStyle name="Normal" xfId="0" builtinId="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46</xdr:col>
      <xdr:colOff>266700</xdr:colOff>
      <xdr:row>0</xdr:row>
      <xdr:rowOff>76200</xdr:rowOff>
    </xdr:from>
    <xdr:to>
      <xdr:col>46</xdr:col>
      <xdr:colOff>2222502</xdr:colOff>
      <xdr:row>7</xdr:row>
      <xdr:rowOff>254000</xdr:rowOff>
    </xdr:to>
    <xdr:pic>
      <xdr:nvPicPr>
        <xdr:cNvPr id="2" name="Imagen 1">
          <a:extLst>
            <a:ext uri="{FF2B5EF4-FFF2-40B4-BE49-F238E27FC236}">
              <a16:creationId xmlns:a16="http://schemas.microsoft.com/office/drawing/2014/main" id="{22FA0D7D-52F5-41BA-8B2B-215950FB7ACE}"/>
            </a:ext>
          </a:extLst>
        </xdr:cNvPr>
        <xdr:cNvPicPr>
          <a:picLocks noChangeAspect="1"/>
        </xdr:cNvPicPr>
      </xdr:nvPicPr>
      <xdr:blipFill>
        <a:blip xmlns:r="http://schemas.openxmlformats.org/officeDocument/2006/relationships" r:embed="rId1"/>
        <a:stretch>
          <a:fillRect/>
        </a:stretch>
      </xdr:blipFill>
      <xdr:spPr>
        <a:xfrm>
          <a:off x="58416825" y="76200"/>
          <a:ext cx="1857375" cy="1238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2"/>
  <sheetViews>
    <sheetView tabSelected="1" topLeftCell="G1" zoomScale="87" zoomScaleNormal="87" workbookViewId="0">
      <pane ySplit="1" topLeftCell="A9" activePane="bottomLeft" state="frozen"/>
      <selection pane="bottomLeft" activeCell="I12" sqref="I12"/>
    </sheetView>
  </sheetViews>
  <sheetFormatPr baseColWidth="10" defaultColWidth="11.453125" defaultRowHeight="15" customHeight="1" x14ac:dyDescent="0.25"/>
  <cols>
    <col min="1" max="1" width="25" style="1" customWidth="1"/>
    <col min="2" max="2" width="23.1796875" style="1" customWidth="1"/>
    <col min="3" max="3" width="25.1796875" style="1" customWidth="1"/>
    <col min="4" max="4" width="27.453125" style="1" customWidth="1"/>
    <col min="5" max="5" width="23.81640625" style="1" customWidth="1"/>
    <col min="6" max="7" width="24.1796875" style="1" customWidth="1"/>
    <col min="8" max="8" width="27.1796875" style="1" bestFit="1" customWidth="1"/>
    <col min="9" max="9" width="26.81640625" style="1" customWidth="1"/>
    <col min="10" max="10" width="17.453125" style="16" customWidth="1"/>
    <col min="11" max="11" width="17.453125" style="17" customWidth="1"/>
    <col min="12" max="12" width="17.453125" style="1" customWidth="1"/>
    <col min="13" max="13" width="28.1796875" style="1" customWidth="1"/>
    <col min="14" max="20" width="17.453125" style="1" customWidth="1"/>
    <col min="21" max="21" width="17.453125" style="17" customWidth="1"/>
    <col min="22" max="23" width="16.453125" style="1" customWidth="1"/>
    <col min="24" max="24" width="14" style="1" customWidth="1"/>
    <col min="25" max="25" width="10.453125" style="1" bestFit="1" customWidth="1"/>
    <col min="26" max="26" width="34" style="1" customWidth="1"/>
    <col min="27" max="27" width="18.453125" style="1" customWidth="1"/>
    <col min="28" max="28" width="10.453125" style="1" bestFit="1" customWidth="1"/>
    <col min="29" max="29" width="51" style="1" customWidth="1"/>
    <col min="30" max="30" width="13.54296875" style="1" customWidth="1"/>
    <col min="31" max="31" width="10.453125" style="1" bestFit="1" customWidth="1"/>
    <col min="32" max="32" width="62.1796875" style="1" customWidth="1"/>
    <col min="33" max="33" width="21.81640625" style="1" bestFit="1" customWidth="1"/>
    <col min="34" max="34" width="10.453125" style="1" bestFit="1" customWidth="1"/>
    <col min="35" max="35" width="59.26953125" style="1" customWidth="1"/>
    <col min="36" max="36" width="18.7265625" style="1" customWidth="1"/>
    <col min="37" max="37" width="14.1796875" style="17" customWidth="1"/>
    <col min="38" max="39" width="19.453125" style="17" customWidth="1"/>
    <col min="40" max="40" width="14.26953125" style="17" customWidth="1"/>
    <col min="41" max="41" width="19.453125" style="17" customWidth="1"/>
    <col min="42" max="42" width="13.453125" style="1" customWidth="1"/>
    <col min="43" max="43" width="21.1796875" style="1" customWidth="1"/>
    <col min="44" max="44" width="13.453125" style="1" customWidth="1"/>
    <col min="45" max="45" width="18" style="1" customWidth="1"/>
    <col min="46" max="46" width="16.453125" style="1" customWidth="1"/>
    <col min="47" max="47" width="51.54296875" style="1" customWidth="1"/>
    <col min="48" max="48" width="28.7265625" style="1" customWidth="1"/>
    <col min="49" max="16384" width="11.453125" style="1"/>
  </cols>
  <sheetData>
    <row r="1" spans="1:48" ht="109.5" hidden="1" customHeight="1" x14ac:dyDescent="0.25">
      <c r="A1" s="47" t="s">
        <v>0</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row>
    <row r="2" spans="1:48" ht="13" customHeight="1" x14ac:dyDescent="0.25">
      <c r="A2" s="2"/>
      <c r="B2" s="2"/>
      <c r="C2" s="2"/>
      <c r="D2" s="2"/>
      <c r="E2" s="2"/>
      <c r="F2" s="2"/>
      <c r="G2" s="2"/>
      <c r="H2" s="49" t="s">
        <v>1</v>
      </c>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row>
    <row r="3" spans="1:48" ht="12.75" customHeight="1" x14ac:dyDescent="0.25">
      <c r="A3" s="55" t="s">
        <v>2</v>
      </c>
      <c r="B3" s="55"/>
      <c r="C3" s="3" t="s">
        <v>3</v>
      </c>
      <c r="D3" s="4" t="s">
        <v>4</v>
      </c>
      <c r="E3" s="55" t="s">
        <v>5</v>
      </c>
      <c r="F3" s="5">
        <v>2025</v>
      </c>
      <c r="G3" s="6"/>
      <c r="H3" s="51"/>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row>
    <row r="4" spans="1:48" ht="13" x14ac:dyDescent="0.25">
      <c r="A4" s="55"/>
      <c r="B4" s="55"/>
      <c r="C4" s="3" t="s">
        <v>6</v>
      </c>
      <c r="D4" s="4" t="s">
        <v>7</v>
      </c>
      <c r="E4" s="55"/>
      <c r="F4" s="5">
        <v>2025</v>
      </c>
      <c r="G4" s="6"/>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row>
    <row r="5" spans="1:48" s="8" customFormat="1" ht="12.5" x14ac:dyDescent="0.25">
      <c r="A5" s="7"/>
      <c r="B5" s="7"/>
      <c r="C5" s="7"/>
      <c r="D5" s="7"/>
      <c r="E5" s="7"/>
      <c r="F5" s="7"/>
      <c r="G5" s="7"/>
      <c r="H5" s="53"/>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row>
    <row r="6" spans="1:48" ht="12.75" customHeight="1" x14ac:dyDescent="0.25">
      <c r="A6" s="56" t="s">
        <v>8</v>
      </c>
      <c r="B6" s="56"/>
      <c r="C6" s="56"/>
      <c r="D6" s="56" t="s">
        <v>9</v>
      </c>
      <c r="E6" s="56"/>
      <c r="F6" s="56"/>
      <c r="G6" s="56"/>
      <c r="H6" s="56"/>
      <c r="I6" s="56"/>
      <c r="J6" s="56"/>
      <c r="K6" s="57" t="s">
        <v>10</v>
      </c>
      <c r="L6" s="57"/>
      <c r="M6" s="57"/>
      <c r="N6" s="57"/>
      <c r="O6" s="57"/>
      <c r="P6" s="57"/>
      <c r="Q6" s="57"/>
      <c r="R6" s="57" t="s">
        <v>11</v>
      </c>
      <c r="S6" s="57"/>
      <c r="T6" s="57"/>
      <c r="U6" s="57"/>
      <c r="V6" s="57"/>
      <c r="W6" s="57"/>
      <c r="X6" s="57"/>
      <c r="Y6" s="56" t="s">
        <v>12</v>
      </c>
      <c r="Z6" s="56"/>
      <c r="AA6" s="56"/>
      <c r="AB6" s="56"/>
      <c r="AC6" s="56"/>
      <c r="AD6" s="56"/>
      <c r="AE6" s="56"/>
      <c r="AF6" s="56"/>
      <c r="AG6" s="56"/>
      <c r="AH6" s="56"/>
      <c r="AI6" s="56"/>
      <c r="AJ6" s="9"/>
      <c r="AK6" s="56" t="s">
        <v>13</v>
      </c>
      <c r="AL6" s="56"/>
      <c r="AM6" s="56"/>
      <c r="AN6" s="56"/>
      <c r="AO6" s="56"/>
      <c r="AP6" s="56" t="s">
        <v>14</v>
      </c>
      <c r="AQ6" s="56"/>
      <c r="AR6" s="56"/>
      <c r="AS6" s="56"/>
      <c r="AT6" s="56"/>
      <c r="AU6" s="56"/>
      <c r="AV6" s="9" t="s">
        <v>15</v>
      </c>
    </row>
    <row r="7" spans="1:48" ht="15" customHeight="1" x14ac:dyDescent="0.25">
      <c r="A7" s="56"/>
      <c r="B7" s="56"/>
      <c r="C7" s="56"/>
      <c r="D7" s="56"/>
      <c r="E7" s="56"/>
      <c r="F7" s="56"/>
      <c r="G7" s="56"/>
      <c r="H7" s="56"/>
      <c r="I7" s="56"/>
      <c r="J7" s="56"/>
      <c r="K7" s="57"/>
      <c r="L7" s="57"/>
      <c r="M7" s="57"/>
      <c r="N7" s="57"/>
      <c r="O7" s="57"/>
      <c r="P7" s="57"/>
      <c r="Q7" s="57"/>
      <c r="R7" s="57"/>
      <c r="S7" s="57"/>
      <c r="T7" s="57"/>
      <c r="U7" s="57"/>
      <c r="V7" s="57"/>
      <c r="W7" s="57"/>
      <c r="X7" s="57"/>
      <c r="Y7" s="56" t="s">
        <v>16</v>
      </c>
      <c r="Z7" s="56"/>
      <c r="AA7" s="56"/>
      <c r="AB7" s="56" t="s">
        <v>17</v>
      </c>
      <c r="AC7" s="56"/>
      <c r="AD7" s="56"/>
      <c r="AE7" s="56" t="s">
        <v>18</v>
      </c>
      <c r="AF7" s="56"/>
      <c r="AG7" s="56"/>
      <c r="AH7" s="58" t="s">
        <v>19</v>
      </c>
      <c r="AI7" s="59"/>
      <c r="AJ7" s="11" t="s">
        <v>20</v>
      </c>
      <c r="AK7" s="57" t="s">
        <v>21</v>
      </c>
      <c r="AL7" s="57"/>
      <c r="AM7" s="57"/>
      <c r="AN7" s="57"/>
      <c r="AO7" s="57"/>
      <c r="AP7" s="60" t="s">
        <v>22</v>
      </c>
      <c r="AQ7" s="60"/>
      <c r="AR7" s="60"/>
      <c r="AS7" s="60"/>
      <c r="AT7" s="60"/>
      <c r="AU7" s="60"/>
      <c r="AV7" s="9" t="s">
        <v>23</v>
      </c>
    </row>
    <row r="8" spans="1:48" s="12" customFormat="1" ht="69" customHeight="1" x14ac:dyDescent="0.25">
      <c r="A8" s="9" t="s">
        <v>24</v>
      </c>
      <c r="B8" s="9" t="s">
        <v>25</v>
      </c>
      <c r="C8" s="9" t="s">
        <v>26</v>
      </c>
      <c r="D8" s="9" t="s">
        <v>27</v>
      </c>
      <c r="E8" s="9" t="s">
        <v>28</v>
      </c>
      <c r="F8" s="9" t="s">
        <v>29</v>
      </c>
      <c r="G8" s="9" t="s">
        <v>30</v>
      </c>
      <c r="H8" s="9" t="s">
        <v>31</v>
      </c>
      <c r="I8" s="9" t="s">
        <v>32</v>
      </c>
      <c r="J8" s="9" t="s">
        <v>33</v>
      </c>
      <c r="K8" s="9" t="s">
        <v>34</v>
      </c>
      <c r="L8" s="9" t="s">
        <v>35</v>
      </c>
      <c r="M8" s="9" t="s">
        <v>36</v>
      </c>
      <c r="N8" s="9" t="s">
        <v>37</v>
      </c>
      <c r="O8" s="9" t="s">
        <v>38</v>
      </c>
      <c r="P8" s="9" t="s">
        <v>39</v>
      </c>
      <c r="Q8" s="9" t="s">
        <v>40</v>
      </c>
      <c r="R8" s="9" t="s">
        <v>41</v>
      </c>
      <c r="S8" s="9" t="s">
        <v>42</v>
      </c>
      <c r="T8" s="9" t="s">
        <v>43</v>
      </c>
      <c r="U8" s="9" t="s">
        <v>44</v>
      </c>
      <c r="V8" s="9" t="s">
        <v>45</v>
      </c>
      <c r="W8" s="9" t="s">
        <v>46</v>
      </c>
      <c r="X8" s="9" t="s">
        <v>47</v>
      </c>
      <c r="Y8" s="9" t="s">
        <v>48</v>
      </c>
      <c r="Z8" s="9" t="s">
        <v>49</v>
      </c>
      <c r="AA8" s="9" t="s">
        <v>50</v>
      </c>
      <c r="AB8" s="9" t="s">
        <v>48</v>
      </c>
      <c r="AC8" s="9" t="s">
        <v>49</v>
      </c>
      <c r="AD8" s="9" t="s">
        <v>50</v>
      </c>
      <c r="AE8" s="9" t="s">
        <v>48</v>
      </c>
      <c r="AF8" s="9" t="s">
        <v>49</v>
      </c>
      <c r="AG8" s="9" t="s">
        <v>50</v>
      </c>
      <c r="AH8" s="9" t="s">
        <v>48</v>
      </c>
      <c r="AI8" s="9" t="s">
        <v>49</v>
      </c>
      <c r="AJ8" s="10" t="s">
        <v>51</v>
      </c>
      <c r="AK8" s="10" t="s">
        <v>52</v>
      </c>
      <c r="AL8" s="10" t="s">
        <v>53</v>
      </c>
      <c r="AM8" s="10" t="s">
        <v>54</v>
      </c>
      <c r="AN8" s="10" t="s">
        <v>55</v>
      </c>
      <c r="AO8" s="10" t="s">
        <v>56</v>
      </c>
      <c r="AP8" s="10" t="s">
        <v>57</v>
      </c>
      <c r="AQ8" s="10" t="s">
        <v>58</v>
      </c>
      <c r="AR8" s="10" t="s">
        <v>59</v>
      </c>
      <c r="AS8" s="10" t="s">
        <v>60</v>
      </c>
      <c r="AT8" s="10" t="s">
        <v>61</v>
      </c>
      <c r="AU8" s="10" t="s">
        <v>62</v>
      </c>
      <c r="AV8" s="10" t="s">
        <v>63</v>
      </c>
    </row>
    <row r="9" spans="1:48" s="12" customFormat="1" ht="168" customHeight="1" x14ac:dyDescent="0.25">
      <c r="A9" s="25" t="s">
        <v>132</v>
      </c>
      <c r="B9" s="26" t="s">
        <v>134</v>
      </c>
      <c r="C9" s="14"/>
      <c r="D9" s="13">
        <v>460</v>
      </c>
      <c r="E9" s="13" t="s">
        <v>65</v>
      </c>
      <c r="F9" s="13" t="s">
        <v>66</v>
      </c>
      <c r="G9" s="13" t="s">
        <v>67</v>
      </c>
      <c r="H9" s="14" t="s">
        <v>64</v>
      </c>
      <c r="I9" s="26" t="s">
        <v>116</v>
      </c>
      <c r="J9" s="26" t="s">
        <v>106</v>
      </c>
      <c r="K9" s="13" t="s">
        <v>68</v>
      </c>
      <c r="L9" s="14" t="s">
        <v>69</v>
      </c>
      <c r="M9" s="26" t="s">
        <v>121</v>
      </c>
      <c r="N9" s="14" t="s">
        <v>70</v>
      </c>
      <c r="O9" s="13" t="s">
        <v>71</v>
      </c>
      <c r="P9" s="25" t="s">
        <v>107</v>
      </c>
      <c r="Q9" s="21">
        <v>45756</v>
      </c>
      <c r="R9" s="13">
        <v>440</v>
      </c>
      <c r="S9" s="13">
        <v>2024</v>
      </c>
      <c r="T9" s="13" t="s">
        <v>71</v>
      </c>
      <c r="U9" s="22">
        <v>440</v>
      </c>
      <c r="V9" s="13">
        <v>2025</v>
      </c>
      <c r="W9" s="25" t="s">
        <v>109</v>
      </c>
      <c r="X9" s="13" t="s">
        <v>72</v>
      </c>
      <c r="Y9" s="13">
        <v>0</v>
      </c>
      <c r="Z9" s="18" t="s">
        <v>73</v>
      </c>
      <c r="AA9" s="26" t="s">
        <v>93</v>
      </c>
      <c r="AB9" s="13">
        <v>0</v>
      </c>
      <c r="AC9" s="18" t="s">
        <v>98</v>
      </c>
      <c r="AD9" s="26" t="s">
        <v>93</v>
      </c>
      <c r="AE9" s="24">
        <v>0</v>
      </c>
      <c r="AF9" s="20" t="s">
        <v>104</v>
      </c>
      <c r="AG9" s="19" t="s">
        <v>93</v>
      </c>
      <c r="AH9" s="42">
        <v>409</v>
      </c>
      <c r="AI9" s="42" t="s">
        <v>152</v>
      </c>
      <c r="AJ9" s="14" t="s">
        <v>74</v>
      </c>
      <c r="AK9" s="14">
        <v>722</v>
      </c>
      <c r="AL9" s="14" t="s">
        <v>75</v>
      </c>
      <c r="AM9" s="14" t="s">
        <v>76</v>
      </c>
      <c r="AN9" s="14">
        <v>722</v>
      </c>
      <c r="AO9" s="14" t="s">
        <v>75</v>
      </c>
      <c r="AP9" s="14">
        <v>240030</v>
      </c>
      <c r="AQ9" s="14" t="s">
        <v>77</v>
      </c>
      <c r="AR9" s="14">
        <v>440</v>
      </c>
      <c r="AS9" s="15">
        <v>433528838</v>
      </c>
      <c r="AT9" s="45">
        <v>217937650</v>
      </c>
      <c r="AU9" s="42" t="s">
        <v>149</v>
      </c>
      <c r="AV9" s="14"/>
    </row>
    <row r="10" spans="1:48" s="12" customFormat="1" ht="90.75" customHeight="1" x14ac:dyDescent="0.25">
      <c r="A10" s="25" t="s">
        <v>132</v>
      </c>
      <c r="B10" s="26" t="s">
        <v>134</v>
      </c>
      <c r="C10" s="14"/>
      <c r="D10" s="13">
        <v>461</v>
      </c>
      <c r="E10" s="13" t="s">
        <v>65</v>
      </c>
      <c r="F10" s="13" t="s">
        <v>79</v>
      </c>
      <c r="G10" s="13" t="s">
        <v>80</v>
      </c>
      <c r="H10" s="14" t="s">
        <v>78</v>
      </c>
      <c r="I10" s="26" t="s">
        <v>120</v>
      </c>
      <c r="J10" s="26" t="s">
        <v>106</v>
      </c>
      <c r="K10" s="13" t="s">
        <v>68</v>
      </c>
      <c r="L10" s="14" t="s">
        <v>69</v>
      </c>
      <c r="M10" s="26" t="s">
        <v>122</v>
      </c>
      <c r="N10" s="14" t="s">
        <v>81</v>
      </c>
      <c r="O10" s="40" t="s">
        <v>71</v>
      </c>
      <c r="P10" s="25" t="s">
        <v>107</v>
      </c>
      <c r="Q10" s="21">
        <v>45756</v>
      </c>
      <c r="R10" s="31">
        <v>21</v>
      </c>
      <c r="S10" s="13">
        <v>2024</v>
      </c>
      <c r="T10" s="39" t="s">
        <v>71</v>
      </c>
      <c r="U10" s="41">
        <v>23</v>
      </c>
      <c r="V10" s="13">
        <v>2025</v>
      </c>
      <c r="W10" s="25" t="s">
        <v>109</v>
      </c>
      <c r="X10" s="13" t="s">
        <v>72</v>
      </c>
      <c r="Y10" s="13">
        <v>0</v>
      </c>
      <c r="Z10" s="14" t="s">
        <v>82</v>
      </c>
      <c r="AA10" s="14" t="s">
        <v>81</v>
      </c>
      <c r="AB10" s="13">
        <v>0</v>
      </c>
      <c r="AC10" s="18" t="s">
        <v>99</v>
      </c>
      <c r="AD10" s="14" t="s">
        <v>81</v>
      </c>
      <c r="AE10" s="24">
        <v>6</v>
      </c>
      <c r="AF10" s="20" t="s">
        <v>102</v>
      </c>
      <c r="AG10" s="19" t="s">
        <v>101</v>
      </c>
      <c r="AH10" s="42">
        <v>16</v>
      </c>
      <c r="AI10" s="42" t="s">
        <v>153</v>
      </c>
      <c r="AJ10" s="14" t="s">
        <v>74</v>
      </c>
      <c r="AK10" s="14">
        <v>722</v>
      </c>
      <c r="AL10" s="14" t="s">
        <v>75</v>
      </c>
      <c r="AM10" s="14" t="s">
        <v>76</v>
      </c>
      <c r="AN10" s="14">
        <v>722</v>
      </c>
      <c r="AO10" s="14" t="s">
        <v>75</v>
      </c>
      <c r="AP10" s="14">
        <v>240030</v>
      </c>
      <c r="AQ10" s="14" t="s">
        <v>77</v>
      </c>
      <c r="AR10" s="14">
        <v>440</v>
      </c>
      <c r="AS10" s="15">
        <v>46000000</v>
      </c>
      <c r="AT10" s="45">
        <v>44000000</v>
      </c>
      <c r="AU10" s="42" t="s">
        <v>150</v>
      </c>
      <c r="AV10" s="14"/>
    </row>
    <row r="11" spans="1:48" s="12" customFormat="1" ht="87.5" x14ac:dyDescent="0.25">
      <c r="A11" s="25" t="s">
        <v>132</v>
      </c>
      <c r="B11" s="26" t="s">
        <v>134</v>
      </c>
      <c r="C11" s="14"/>
      <c r="D11" s="13">
        <v>462</v>
      </c>
      <c r="E11" s="13" t="s">
        <v>84</v>
      </c>
      <c r="F11" s="13" t="s">
        <v>85</v>
      </c>
      <c r="G11" s="13" t="s">
        <v>80</v>
      </c>
      <c r="H11" s="14" t="s">
        <v>83</v>
      </c>
      <c r="I11" s="26" t="s">
        <v>124</v>
      </c>
      <c r="J11" s="26" t="s">
        <v>106</v>
      </c>
      <c r="K11" s="13" t="s">
        <v>68</v>
      </c>
      <c r="L11" s="14" t="s">
        <v>69</v>
      </c>
      <c r="M11" s="26" t="s">
        <v>125</v>
      </c>
      <c r="N11" s="14" t="s">
        <v>86</v>
      </c>
      <c r="O11" s="13" t="s">
        <v>71</v>
      </c>
      <c r="P11" s="25" t="s">
        <v>110</v>
      </c>
      <c r="Q11" s="21">
        <v>45391</v>
      </c>
      <c r="R11" s="13">
        <v>1</v>
      </c>
      <c r="S11" s="13">
        <v>2024</v>
      </c>
      <c r="T11" s="13" t="s">
        <v>71</v>
      </c>
      <c r="U11" s="23">
        <v>1</v>
      </c>
      <c r="V11" s="13">
        <v>2025</v>
      </c>
      <c r="W11" s="25" t="s">
        <v>109</v>
      </c>
      <c r="X11" s="30" t="s">
        <v>127</v>
      </c>
      <c r="Y11" s="13">
        <v>0</v>
      </c>
      <c r="Z11" s="14" t="s">
        <v>87</v>
      </c>
      <c r="AA11" s="26" t="s">
        <v>101</v>
      </c>
      <c r="AB11" s="13">
        <v>0</v>
      </c>
      <c r="AC11" s="14" t="s">
        <v>100</v>
      </c>
      <c r="AD11" s="26" t="s">
        <v>101</v>
      </c>
      <c r="AE11" s="24">
        <v>0</v>
      </c>
      <c r="AF11" s="19" t="s">
        <v>103</v>
      </c>
      <c r="AG11" s="19" t="s">
        <v>101</v>
      </c>
      <c r="AH11" s="42">
        <v>1</v>
      </c>
      <c r="AI11" s="42" t="s">
        <v>148</v>
      </c>
      <c r="AJ11" s="14" t="s">
        <v>74</v>
      </c>
      <c r="AK11" s="14">
        <v>722</v>
      </c>
      <c r="AL11" s="14" t="s">
        <v>75</v>
      </c>
      <c r="AM11" s="14" t="s">
        <v>76</v>
      </c>
      <c r="AN11" s="14">
        <v>722</v>
      </c>
      <c r="AO11" s="14" t="s">
        <v>75</v>
      </c>
      <c r="AP11" s="14">
        <v>240030</v>
      </c>
      <c r="AQ11" s="14" t="s">
        <v>77</v>
      </c>
      <c r="AR11" s="14">
        <v>440</v>
      </c>
      <c r="AS11" s="15">
        <v>10000000</v>
      </c>
      <c r="AT11" s="45">
        <v>10000000</v>
      </c>
      <c r="AU11" s="42" t="s">
        <v>151</v>
      </c>
      <c r="AV11" s="14"/>
    </row>
    <row r="12" spans="1:48" s="12" customFormat="1" ht="231" customHeight="1" x14ac:dyDescent="0.25">
      <c r="A12" s="25" t="s">
        <v>132</v>
      </c>
      <c r="B12" s="26" t="s">
        <v>133</v>
      </c>
      <c r="C12" s="14"/>
      <c r="D12" s="13">
        <v>464</v>
      </c>
      <c r="E12" s="13" t="s">
        <v>84</v>
      </c>
      <c r="F12" s="13" t="s">
        <v>89</v>
      </c>
      <c r="G12" s="13" t="s">
        <v>90</v>
      </c>
      <c r="H12" s="14" t="s">
        <v>88</v>
      </c>
      <c r="I12" s="14" t="s">
        <v>91</v>
      </c>
      <c r="J12" s="38" t="s">
        <v>142</v>
      </c>
      <c r="K12" s="13" t="s">
        <v>68</v>
      </c>
      <c r="L12" s="14" t="s">
        <v>69</v>
      </c>
      <c r="M12" s="14" t="s">
        <v>92</v>
      </c>
      <c r="N12" s="14" t="s">
        <v>93</v>
      </c>
      <c r="O12" s="13" t="s">
        <v>71</v>
      </c>
      <c r="P12" s="25" t="s">
        <v>129</v>
      </c>
      <c r="Q12" s="21">
        <v>45756</v>
      </c>
      <c r="R12" s="31">
        <v>1148</v>
      </c>
      <c r="S12" s="13">
        <v>2023</v>
      </c>
      <c r="T12" s="13" t="s">
        <v>71</v>
      </c>
      <c r="U12" s="13">
        <v>1500</v>
      </c>
      <c r="V12" s="13">
        <v>2025</v>
      </c>
      <c r="W12" s="25" t="s">
        <v>109</v>
      </c>
      <c r="X12" s="25" t="s">
        <v>72</v>
      </c>
      <c r="Y12" s="13">
        <v>0</v>
      </c>
      <c r="Z12" s="14" t="s">
        <v>94</v>
      </c>
      <c r="AA12" s="14" t="s">
        <v>93</v>
      </c>
      <c r="AB12" s="43">
        <v>56</v>
      </c>
      <c r="AC12" s="42" t="s">
        <v>146</v>
      </c>
      <c r="AD12" s="14" t="s">
        <v>93</v>
      </c>
      <c r="AE12" s="43">
        <v>1013</v>
      </c>
      <c r="AF12" s="44" t="s">
        <v>147</v>
      </c>
      <c r="AG12" s="19" t="s">
        <v>93</v>
      </c>
      <c r="AH12" s="42">
        <v>194</v>
      </c>
      <c r="AI12" s="42" t="s">
        <v>154</v>
      </c>
      <c r="AJ12" s="14" t="s">
        <v>74</v>
      </c>
      <c r="AK12" s="14">
        <v>722</v>
      </c>
      <c r="AL12" s="14" t="s">
        <v>75</v>
      </c>
      <c r="AM12" s="14" t="s">
        <v>95</v>
      </c>
      <c r="AN12" s="14">
        <v>722</v>
      </c>
      <c r="AO12" s="14" t="s">
        <v>75</v>
      </c>
      <c r="AP12" s="14">
        <v>240041</v>
      </c>
      <c r="AQ12" s="14" t="s">
        <v>96</v>
      </c>
      <c r="AR12" s="14">
        <v>6509</v>
      </c>
      <c r="AS12" s="46">
        <v>959367508.9000001</v>
      </c>
      <c r="AT12" s="45">
        <f>5121369365*10%</f>
        <v>512136936.5</v>
      </c>
      <c r="AU12" s="42" t="s">
        <v>97</v>
      </c>
      <c r="AV12" s="14"/>
    </row>
  </sheetData>
  <protectedRanges>
    <protectedRange sqref="L1:N1048576" name="Rango1"/>
    <protectedRange sqref="Q1:T1048576" name="Rango2"/>
    <protectedRange sqref="AJ1:AV11 AJ13:AV1048576 AN12:AV12 AJ12:AL12" name="Rango4"/>
    <protectedRange sqref="AA12 AG9" name="Rango3_2"/>
    <protectedRange sqref="AM12" name="Rango3_4"/>
  </protectedRanges>
  <mergeCells count="17">
    <mergeCell ref="AP7:AU7"/>
    <mergeCell ref="A1:AV1"/>
    <mergeCell ref="H2:AV5"/>
    <mergeCell ref="A3:B4"/>
    <mergeCell ref="E3:E4"/>
    <mergeCell ref="A6:C7"/>
    <mergeCell ref="D6:J7"/>
    <mergeCell ref="K6:Q7"/>
    <mergeCell ref="R6:X7"/>
    <mergeCell ref="Y6:AI6"/>
    <mergeCell ref="AK6:AO6"/>
    <mergeCell ref="AP6:AU6"/>
    <mergeCell ref="Y7:AA7"/>
    <mergeCell ref="AB7:AD7"/>
    <mergeCell ref="AE7:AG7"/>
    <mergeCell ref="AH7:AI7"/>
    <mergeCell ref="AK7:AO7"/>
  </mergeCells>
  <dataValidations count="42">
    <dataValidation type="list" allowBlank="1" showInputMessage="1" showErrorMessage="1" sqref="E9:E12" xr:uid="{00000000-0002-0000-0000-000000000000}">
      <formula1>"Reconocimiento y confianza,Agenciamiento y modelos de representación,Gobernanza y gobernabilidad"</formula1>
    </dataValidation>
    <dataValidation type="list" allowBlank="1" showInputMessage="1" showErrorMessage="1" sqref="X9:X12" xr:uid="{00000000-0002-0000-0000-000001000000}">
      <formula1>"Stock,Flujo,Capacidad,Acumulado,Reducción,Reducción periódica"</formula1>
    </dataValidation>
    <dataValidation allowBlank="1" showInputMessage="1" showErrorMessage="1" prompt="Indique el año de cumplimiento de la meta." sqref="V8" xr:uid="{00000000-0002-0000-0000-000002000000}"/>
    <dataValidation allowBlank="1" showInputMessage="1" showErrorMessage="1" prompt="Diligenciar meses durante los cuales se realizará el seguimiento a los indicadores." sqref="A3:B4" xr:uid="{00000000-0002-0000-0000-000003000000}"/>
    <dataValidation allowBlank="1" showInputMessage="1" showErrorMessage="1" prompt="Describir la fuente de la cual se obtiene la información, soporte o evidencia." sqref="AA8 AD8 AG8" xr:uid="{00000000-0002-0000-0000-000004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000-000005000000}"/>
    <dataValidation allowBlank="1" showInputMessage="1" showErrorMessage="1" prompt="Registre el resultado cuantitativo obtenido para la medición del indicador en el periodo correspondiente." sqref="Y8 AB8 AE8 AH8" xr:uid="{00000000-0002-0000-0000-000006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V8" xr:uid="{00000000-0002-0000-0000-000007000000}"/>
    <dataValidation allowBlank="1" showInputMessage="1" showErrorMessage="1" prompt="Cualquier aclaración o detalle adicional sobre el presupuesto." sqref="AU8" xr:uid="{00000000-0002-0000-0000-000008000000}"/>
    <dataValidation allowBlank="1" showInputMessage="1" showErrorMessage="1" prompt="Monto total ejecutado para el cumplimiento de la meta." sqref="AT8" xr:uid="{00000000-0002-0000-0000-000009000000}"/>
    <dataValidation allowBlank="1" showInputMessage="1" showErrorMessage="1" prompt="Monto total asignado para el proyecto." sqref="AS8" xr:uid="{00000000-0002-0000-0000-00000A000000}"/>
    <dataValidation allowBlank="1" showInputMessage="1" showErrorMessage="1" prompt="Meta final que busca alcanzar el proyecto. " sqref="AR8" xr:uid="{00000000-0002-0000-0000-00000B000000}"/>
    <dataValidation allowBlank="1" showInputMessage="1" showErrorMessage="1" prompt="Nombre oficial del proyecto. " sqref="AQ8" xr:uid="{00000000-0002-0000-0000-00000C000000}"/>
    <dataValidation allowBlank="1" showInputMessage="1" showErrorMessage="1" prompt="Identificador único del proyecto. " sqref="AP8" xr:uid="{00000000-0002-0000-0000-00000D000000}"/>
    <dataValidation allowBlank="1" showInputMessage="1" showErrorMessage="1" prompt="Indique a qué población está dirigida la intervención." sqref="J8" xr:uid="{00000000-0002-0000-0000-00000E000000}"/>
    <dataValidation allowBlank="1" showInputMessage="1" showErrorMessage="1" prompt="Asignar, según pestaña &quot;Cód y nombre dependencia&quot;" sqref="AK8:AL8 AN8:AO8" xr:uid="{00000000-0002-0000-0000-00000F000000}"/>
    <dataValidation allowBlank="1" showInputMessage="1" showErrorMessage="1" prompt="Especifique la Unidad responsable del reporte de la información." sqref="AM8" xr:uid="{00000000-0002-0000-0000-000010000000}"/>
    <dataValidation allowBlank="1" showInputMessage="1" showErrorMessage="1" prompt="Según la desagregación territorial, indique las comunas o corregimientos del ámbito de intervención; puede ser uno o varios. " sqref="AJ8" xr:uid="{00000000-0002-0000-0000-000011000000}"/>
    <dataValidation allowBlank="1" showInputMessage="1" showErrorMessage="1" prompt="Asigne, según la PPPC." sqref="F8:G8" xr:uid="{00000000-0002-0000-0000-000012000000}"/>
    <dataValidation allowBlank="1" showInputMessage="1" showErrorMessage="1" prompt="Seleccione, según la PPPC." sqref="E8" xr:uid="{00000000-0002-0000-0000-000013000000}"/>
    <dataValidation allowBlank="1" showInputMessage="1" showErrorMessage="1" prompt="Seleccione la manera cómo se registran los avances en el indicador a lo largo del tiempo para su respectiva medición." sqref="X8" xr:uid="{00000000-0002-0000-0000-000014000000}"/>
    <dataValidation allowBlank="1" showInputMessage="1" showErrorMessage="1" prompt="Seleccione el comportamiento desado del indicador, en tres categorias: Incrementar, mantener o dismunuir." sqref="W8" xr:uid="{00000000-0002-0000-0000-000015000000}"/>
    <dataValidation allowBlank="1" showInputMessage="1" showErrorMessage="1" prompt="Año en el cual se obtuvo la línea base del indicador." sqref="S8" xr:uid="{00000000-0002-0000-0000-000016000000}"/>
    <dataValidation allowBlank="1" showInputMessage="1" showErrorMessage="1" prompt="Fecha o periodo en que se dispone del dato para su reporte a SIEM." sqref="Q8" xr:uid="{00000000-0002-0000-0000-000017000000}"/>
    <dataValidation allowBlank="1" showInputMessage="1" showErrorMessage="1" prompt="Fuente que produce o de la cual se extrae la información." sqref="N8" xr:uid="{00000000-0002-0000-0000-000018000000}"/>
    <dataValidation allowBlank="1" showInputMessage="1" showErrorMessage="1" prompt="Definición o explicación de las variables que hacen parte de la fórmula del indicador." sqref="M8" xr:uid="{00000000-0002-0000-0000-000019000000}"/>
    <dataValidation allowBlank="1" showInputMessage="1" showErrorMessage="1" prompt="Numerador y denominador que definen la forma de cálculo del indicador." sqref="L8" xr:uid="{00000000-0002-0000-0000-00001A000000}"/>
    <dataValidation allowBlank="1" showInputMessage="1" showErrorMessage="1" prompt="Nivel al que corresponde el indicador." sqref="K8" xr:uid="{00000000-0002-0000-0000-00001B000000}"/>
    <dataValidation allowBlank="1" showInputMessage="1" showErrorMessage="1" prompt="Manera cómo se medirá el producto. " sqref="I8" xr:uid="{00000000-0002-0000-0000-00001C000000}"/>
    <dataValidation allowBlank="1" showInputMessage="1" showErrorMessage="1" prompt="Escriba la Meta que se tienen programada." sqref="U8" xr:uid="{00000000-0002-0000-0000-00001D000000}"/>
    <dataValidation allowBlank="1" showInputMessage="1" showErrorMessage="1" prompt="Relacionar la medida en la cual se obtiene el resultado del indicador." sqref="O8" xr:uid="{00000000-0002-0000-0000-00001E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000-00001F000000}"/>
    <dataValidation allowBlank="1" showInputMessage="1" showErrorMessage="1" prompt="Frecuencia con la cual se debe calcular y registrar los resultados del indicador." sqref="P8" xr:uid="{00000000-0002-0000-0000-000020000000}"/>
    <dataValidation allowBlank="1" showInputMessage="1" showErrorMessage="1" prompt="Debe coincidir con la unidad de medida del indicador para poder ser comparables." sqref="T8" xr:uid="{00000000-0002-0000-0000-000021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000-000022000000}"/>
    <dataValidation allowBlank="1" showInputMessage="1" showErrorMessage="1" prompt="Se refiere al código consecutivo asignado." sqref="D8" xr:uid="{00000000-0002-0000-0000-000023000000}"/>
    <dataValidation allowBlank="1" showInputMessage="1" showErrorMessage="1" prompt="Por favor seleccionar el Programa de acuerdo al Pilar o Eje." sqref="B8" xr:uid="{00000000-0002-0000-0000-000024000000}"/>
    <dataValidation allowBlank="1" showInputMessage="1" showErrorMessage="1" prompt="Por favor elija el Pilar o Eje del PDD." sqref="A8" xr:uid="{00000000-0002-0000-0000-000025000000}"/>
    <dataValidation allowBlank="1" showInputMessage="1" showErrorMessage="1" prompt="Por favor seleccionar el Proyecto de acuerdo al Progama" sqref="C8" xr:uid="{00000000-0002-0000-0000-000026000000}"/>
    <dataValidation type="list" allowBlank="1" showInputMessage="1" showErrorMessage="1" sqref="D3:D4" xr:uid="{00000000-0002-0000-0000-000027000000}">
      <formula1>"Enero,Febrero,Marzo,Abril,Mayo,Junio,Julio,Agosto,Septiembre,Octubre,Noviembre,Diciembre"</formula1>
    </dataValidation>
    <dataValidation allowBlank="1" showErrorMessage="1" sqref="AV7" xr:uid="{00000000-0002-0000-0000-000028000000}"/>
    <dataValidation type="list" allowBlank="1" showInputMessage="1" showErrorMessage="1" sqref="W9:W12" xr:uid="{00000000-0002-0000-0000-000029000000}">
      <formula1>"Creciente, Decreciente, Mantenimiento"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workbookViewId="0">
      <selection activeCell="A18" sqref="A18"/>
    </sheetView>
  </sheetViews>
  <sheetFormatPr baseColWidth="10" defaultRowHeight="14.5" x14ac:dyDescent="0.35"/>
  <cols>
    <col min="1" max="1" width="37.26953125" customWidth="1"/>
    <col min="2" max="2" width="16.54296875" bestFit="1" customWidth="1"/>
    <col min="3" max="3" width="90.81640625" customWidth="1"/>
  </cols>
  <sheetData>
    <row r="1" spans="1:7" ht="27.75" customHeight="1" x14ac:dyDescent="0.35">
      <c r="A1" s="28" t="s">
        <v>105</v>
      </c>
      <c r="B1" s="29" t="s">
        <v>111</v>
      </c>
      <c r="C1" s="29" t="s">
        <v>115</v>
      </c>
    </row>
    <row r="2" spans="1:7" ht="29" x14ac:dyDescent="0.35">
      <c r="A2" s="27" t="s">
        <v>24</v>
      </c>
      <c r="B2" s="34" t="s">
        <v>130</v>
      </c>
      <c r="C2" s="37" t="s">
        <v>131</v>
      </c>
    </row>
    <row r="3" spans="1:7" ht="43.5" x14ac:dyDescent="0.35">
      <c r="A3" s="27" t="s">
        <v>25</v>
      </c>
      <c r="B3" s="34" t="s">
        <v>130</v>
      </c>
      <c r="C3" s="37" t="s">
        <v>135</v>
      </c>
    </row>
    <row r="4" spans="1:7" ht="43.5" x14ac:dyDescent="0.35">
      <c r="A4" s="27" t="s">
        <v>32</v>
      </c>
      <c r="B4" s="35">
        <v>460</v>
      </c>
      <c r="C4" s="32" t="s">
        <v>114</v>
      </c>
    </row>
    <row r="5" spans="1:7" ht="87" x14ac:dyDescent="0.35">
      <c r="A5" s="27" t="s">
        <v>32</v>
      </c>
      <c r="B5" s="35">
        <v>461</v>
      </c>
      <c r="C5" s="32" t="s">
        <v>119</v>
      </c>
    </row>
    <row r="6" spans="1:7" ht="43.5" x14ac:dyDescent="0.35">
      <c r="A6" s="27" t="s">
        <v>32</v>
      </c>
      <c r="B6" s="35">
        <v>462</v>
      </c>
      <c r="C6" s="32" t="s">
        <v>123</v>
      </c>
    </row>
    <row r="7" spans="1:7" ht="43.5" x14ac:dyDescent="0.35">
      <c r="A7" s="27" t="s">
        <v>33</v>
      </c>
      <c r="B7" s="34" t="s">
        <v>130</v>
      </c>
      <c r="C7" s="32" t="s">
        <v>144</v>
      </c>
    </row>
    <row r="8" spans="1:7" ht="43.5" x14ac:dyDescent="0.35">
      <c r="A8" s="27" t="s">
        <v>36</v>
      </c>
      <c r="B8" s="35">
        <v>460</v>
      </c>
      <c r="C8" s="32" t="s">
        <v>117</v>
      </c>
    </row>
    <row r="9" spans="1:7" ht="29" x14ac:dyDescent="0.35">
      <c r="A9" s="27" t="s">
        <v>36</v>
      </c>
      <c r="B9" s="35">
        <v>461</v>
      </c>
      <c r="C9" s="32" t="s">
        <v>113</v>
      </c>
    </row>
    <row r="10" spans="1:7" ht="43.5" x14ac:dyDescent="0.35">
      <c r="A10" s="27" t="s">
        <v>36</v>
      </c>
      <c r="B10" s="35">
        <v>462</v>
      </c>
      <c r="C10" s="32" t="s">
        <v>108</v>
      </c>
      <c r="G10" s="33"/>
    </row>
    <row r="11" spans="1:7" ht="29" x14ac:dyDescent="0.35">
      <c r="A11" s="27" t="s">
        <v>39</v>
      </c>
      <c r="B11" s="35" t="s">
        <v>112</v>
      </c>
      <c r="C11" s="32" t="s">
        <v>126</v>
      </c>
    </row>
    <row r="12" spans="1:7" ht="29" x14ac:dyDescent="0.35">
      <c r="A12" s="27" t="s">
        <v>39</v>
      </c>
      <c r="B12" s="35">
        <v>464</v>
      </c>
      <c r="C12" s="32" t="s">
        <v>137</v>
      </c>
    </row>
    <row r="13" spans="1:7" ht="48.75" customHeight="1" x14ac:dyDescent="0.35">
      <c r="A13" s="27" t="s">
        <v>41</v>
      </c>
      <c r="B13" s="35" t="s">
        <v>138</v>
      </c>
      <c r="C13" s="32" t="s">
        <v>141</v>
      </c>
    </row>
    <row r="14" spans="1:7" ht="48.75" customHeight="1" x14ac:dyDescent="0.35">
      <c r="A14" s="27" t="s">
        <v>43</v>
      </c>
      <c r="B14" s="35">
        <v>461</v>
      </c>
      <c r="C14" s="32" t="s">
        <v>143</v>
      </c>
    </row>
    <row r="15" spans="1:7" ht="24.75" customHeight="1" x14ac:dyDescent="0.35">
      <c r="A15" s="27" t="s">
        <v>44</v>
      </c>
      <c r="B15" s="35">
        <v>461</v>
      </c>
      <c r="C15" s="32" t="s">
        <v>145</v>
      </c>
    </row>
    <row r="16" spans="1:7" ht="29" x14ac:dyDescent="0.35">
      <c r="A16" s="27" t="s">
        <v>47</v>
      </c>
      <c r="B16" s="35">
        <v>462</v>
      </c>
      <c r="C16" s="32" t="s">
        <v>128</v>
      </c>
    </row>
    <row r="17" spans="1:3" ht="31.5" customHeight="1" x14ac:dyDescent="0.35">
      <c r="A17" s="27" t="s">
        <v>46</v>
      </c>
      <c r="B17" s="36" t="s">
        <v>136</v>
      </c>
      <c r="C17" s="32" t="s">
        <v>118</v>
      </c>
    </row>
    <row r="18" spans="1:3" ht="42.75" customHeight="1" x14ac:dyDescent="0.35">
      <c r="A18" s="27" t="s">
        <v>50</v>
      </c>
      <c r="B18" s="36" t="s">
        <v>139</v>
      </c>
      <c r="C18" s="32" t="s">
        <v>140</v>
      </c>
    </row>
  </sheetData>
  <dataValidations count="1">
    <dataValidation allowBlank="1" showInputMessage="1" sqref="A2:C17" xr:uid="{00000000-0002-0000-0100-000000000000}"/>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4. Seguimiento 2025 (2)</vt:lpstr>
      <vt:lpstr>Matriz de cambios</vt:lpstr>
    </vt:vector>
  </TitlesOfParts>
  <Company>Municipio de Medellin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Henry Oviedo Romo</dc:creator>
  <cp:lastModifiedBy>Elida</cp:lastModifiedBy>
  <dcterms:created xsi:type="dcterms:W3CDTF">2025-07-14T13:17:00Z</dcterms:created>
  <dcterms:modified xsi:type="dcterms:W3CDTF">2026-02-11T19:50:56Z</dcterms:modified>
</cp:coreProperties>
</file>