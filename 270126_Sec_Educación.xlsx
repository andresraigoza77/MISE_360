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PERSONAL\3. PARTICIPACIÓN CIUDADANA\2026\MISE\Enero\"/>
    </mc:Choice>
  </mc:AlternateContent>
  <xr:revisionPtr revIDLastSave="0" documentId="8_{05B5EE99-7E88-4D07-AB7D-A5066C0601E1}" xr6:coauthVersionLast="47" xr6:coauthVersionMax="47" xr10:uidLastSave="{00000000-0000-0000-0000-000000000000}"/>
  <bookViews>
    <workbookView xWindow="-110" yWindow="-110" windowWidth="19420" windowHeight="10420" firstSheet="1" activeTab="2" xr2:uid="{00000000-000D-0000-FFFF-FFFF00000000}"/>
  </bookViews>
  <sheets>
    <sheet name="1. Instructivo diligenciamiento" sheetId="9" r:id="rId1"/>
    <sheet name="4. Seguimiento 2024..." sheetId="7" r:id="rId2"/>
    <sheet name="4. Seguimiento 2025" sheetId="10" r:id="rId3"/>
  </sheets>
  <externalReferences>
    <externalReference r:id="rId4"/>
  </externalReferences>
  <definedNames>
    <definedName name="_xlnm._FilterDatabase" localSheetId="1" hidden="1">'4. Seguimiento 2024...'!$A$8:$CC$15</definedName>
    <definedName name="_xlnm._FilterDatabase" localSheetId="2" hidden="1">'4. Seguimiento 2025'!$A$8:$CJ$15</definedName>
    <definedName name="Meses">'[1]Listas desplegables'!$A$2:$A$13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1" i="10" l="1"/>
  <c r="AB9" i="10"/>
  <c r="Y13" i="10" l="1"/>
  <c r="Y11" i="10"/>
  <c r="Y10" i="10"/>
  <c r="Y9" i="10"/>
  <c r="AB13" i="7" l="1"/>
  <c r="Y13" i="7"/>
  <c r="AB11" i="7"/>
  <c r="Y11" i="7"/>
  <c r="AB10" i="7"/>
  <c r="Y10" i="7"/>
</calcChain>
</file>

<file path=xl/sharedStrings.xml><?xml version="1.0" encoding="utf-8"?>
<sst xmlns="http://schemas.openxmlformats.org/spreadsheetml/2006/main" count="854" uniqueCount="315">
  <si>
    <t xml:space="preserve">Matriz Integrada de Seguimiento y Evaluación de la Política Pública de Participación Ciudadana del Distrito de Medellín
Instructivo de Diligenciamiento </t>
  </si>
  <si>
    <t>Estructura de la Matriz Integrada de Seguimiento y Evaluación</t>
  </si>
  <si>
    <t>Descripción</t>
  </si>
  <si>
    <t xml:space="preserve">La Matriz Integrada de Seguimiento y Evaluación es una herramienta que permite realizar el monitoreo y el seguimiento a los indicadores de producto, resultado, impacto y capa externa, para dar cuenta de la manera como el problema público se va a resolver a través de dimensiones, componentes y estrategias que están interconectadas. A su vez, posibilita registrar, procesar y presentar un consolidado de la gestión realizada en temporalidades determinadas, apoyada por la información de la ficha técnica de los indicadores, lo que constituye un insumo esencial para soportar la metodología del levantamiento de esa información. Esta matriz posibilita tanto planear y programar la manera cómo se espera alcanzar las metas, así como realizar un seguimiento permanente a la gestión pública realizada desde la PPPCC, en su horizonte temporal. </t>
  </si>
  <si>
    <t>Objetivo</t>
  </si>
  <si>
    <t xml:space="preserve">Determinar el grado de avance en los objetivos, estrategias, acciones y metas contempladas en la cadena de valor de la Política Pública de Participación Ciudadana para garantizar un monitoreo continuo, sistemático, articulado y la generación de aprendizajes clave para su mejora, en el marco del Modelo Integrador de Seguimiento y Evaluación - MISE-PC -. </t>
  </si>
  <si>
    <t>Alcance</t>
  </si>
  <si>
    <t xml:space="preserve">La Matriz Integrada de Seguimiento y Evaluación contempla la Teoría del Cambio, en la cual se relacionan las hipótesis para la transformación del problema público y el logro del objetivo general. Además, cuenta con el Plan Indicativo, el cual posibilita planear la manera cómo se cumplirán las metas propuestas e integra la información de la ficha técnica de indicadores. Asimismo, cuenta con las hojas que permiten registrar por parte de los responsables de la ejecución el seguimiento anual a los indicadores de producto, resultado, impacto, capa externa e inversión presupuestal, y dos pestañas de apoyo para la codificación del área temática a la cual corresponden los indicadores y de las dependencias responsables de la implementación de acciones y reporte de avance en los indicadores. E incluye notas de apoyo que orientan cómo se debe diligenciar cada ítem. La información diligenciada en esta Matriz, debe ser validada, complementada y ajustada por los responsables de la ejecución de la PPPC, cada año se deben crear hojas nuevas correspondientes al seguimiento de la implementación en cada vigencia y, a partir de los aprendizajes, ajustar de acuerdo a las necesidades o potencialidades emergentes. Nota: Esta matriz recoge la información requerida por el DAP Medellín para el seguimiento a indicadores, del formato "Batería de indicadores". </t>
  </si>
  <si>
    <t>Teoría del cambio</t>
  </si>
  <si>
    <t xml:space="preserve">En esta hoja se relaciona la teoría del cambio, planteada desde la lógica de la cadena de valor de la Política Pública. Las hipótesis o supuestos se relacionan a nivel de "Dimensión - Impacto" y "Subdimensión - dimensión". Una vez validadas y especificadas las hipótesis y supuestos, es necesario determinar los riesgos o eventos inciertos que podrían llegar a suceder en el futuro, dentro del horizonte de ejecución de la PPPC, diligenciando los campos de tipología de riesgo, riesgo, probaibilidad, impacto y medidas de mitigación. </t>
  </si>
  <si>
    <t>Plan Indicativo</t>
  </si>
  <si>
    <t xml:space="preserve">El Plan Indicativo es un instrumento de planeación estratégica que complementa y contribuye a especificar el alcance de las disposiciones contenidas en la Política Pública, constituyéndose en el insumo principal para establecer el nivel de cumplimiento y avance en relación con la implementación de esta. Se trata de la planificación y programación para el cumplimiento de cada indicador en los niveles de impacto, resultado y producto. Además, en esta hoja se integra información acerca de la "Ficha técnica de indicadores" u "Hoja de vida del indicador", así como la información acerca de la planificación presupuestal para darle cumplimiento a cada indicador. En síntesis, el Plan Indicativo sirve para planear y programar cómo se cumplirán las metas en el horizonte temporal de la PPPC. </t>
  </si>
  <si>
    <t>Seguimiento Indicadores de Producto</t>
  </si>
  <si>
    <t xml:space="preserve">A partir de lo planteado en el Plan Indicativo, se establece una hoja que posibilita realizar el seguimiento a los Indicadores de Producto, en la cual es posible registrar el cumplimiento mensual, correspondiente a cada vigencia (año de implementación). Cada dependencia responsable debe filtrar los indicadores que tiene a cargo y registrar la información correspondiente. En síntesis, la hoja de seguimiento facilita registrar el cumplimiento de las metas de producto en tiempo real y contrastar lo logrado frente a lo planeado, cada año de implementación de la PPPC. </t>
  </si>
  <si>
    <t>Orientaciones para el diligenciamiento</t>
  </si>
  <si>
    <t>N°</t>
  </si>
  <si>
    <t>Item</t>
  </si>
  <si>
    <t>Periodo del seguimiento</t>
  </si>
  <si>
    <t>Diligenciar meses y años durante los cuales se realizará el seguimiento a los indicadores.</t>
  </si>
  <si>
    <t>Pilar o Eje Plan de Desarrollo Distrital</t>
  </si>
  <si>
    <t>Articular las acciones con los pilares del Plan de Desarrollo Distrital</t>
  </si>
  <si>
    <t xml:space="preserve">Programa Plan de Desarrollo Distrital </t>
  </si>
  <si>
    <t>Articular las acciones con el programa correspondiente del Plan de Desarrollo Distrital</t>
  </si>
  <si>
    <t>Proyectos Estratégicos Plan de Desarrollo Distrital</t>
  </si>
  <si>
    <t>Articular las acciones con los proyectos estratégicos del Plan de Desarrollo Distrital, en caso de que aplique</t>
  </si>
  <si>
    <t>Código del indicador</t>
  </si>
  <si>
    <t>Es el consecutivo de la ficha del indicador, se asigna el código para indicadores por parte del equipo técnico, siguiendo el siguiente consecutivo en el orden jerárquico de los indicadores: Serie 100: Indicadores de Impacto; Serie 200: Indicadores de Resultado; Serie 300: Indicadores de la capa externa; Series 400 - 500: Indicadores de Producto.</t>
  </si>
  <si>
    <t>Código área temática</t>
  </si>
  <si>
    <t>Es un agrupador lógico que busca asociar el indicador con uno o varios de los temas priorizados. Revisar la pestaña 9 denominada "Cod y áreas temáticas".</t>
  </si>
  <si>
    <t>Área temática</t>
  </si>
  <si>
    <t>Se refiere al nombre o descripción del código asignado de área temática. Revisar la pestaña 9 denominada "Cod y áreas temáticas".</t>
  </si>
  <si>
    <t>Problema Público</t>
  </si>
  <si>
    <t xml:space="preserve">Es el problema principal que se busca abordar a través de la Política Pública de Participación Ciudadana. </t>
  </si>
  <si>
    <t>Objetivo General</t>
  </si>
  <si>
    <t>Es el fin o propósito de la Política Pública de Participación Ciudadana.</t>
  </si>
  <si>
    <t>Núcleo Problémico</t>
  </si>
  <si>
    <t xml:space="preserve">Es el problema central que articula otros problemas subsidiarios o relacionados de la Política Pública de Participación Ciudadana. </t>
  </si>
  <si>
    <t>Dimensión</t>
  </si>
  <si>
    <t>Refiere a cuál de las tres dimensiones de la PPPC responde la alternativa de solución.</t>
  </si>
  <si>
    <t>Objetivo Específico</t>
  </si>
  <si>
    <t xml:space="preserve">Refiere a cuál de los tres objetivos específicos responde la alternativa de solución, estos deben corresponder a las dimensiones de la PPPC. </t>
  </si>
  <si>
    <t>Problema Subsidiario</t>
  </si>
  <si>
    <t>Son los problemas específicos que derivan del núcleo problémico y dan origen a la subdimensión.</t>
  </si>
  <si>
    <t>Subdimensión</t>
  </si>
  <si>
    <t xml:space="preserve">Son subcategorías específicas dentro de la dimensión, a la que busca responder la alternativa de solución. Estas derivan y se corresponden directamente con el problema subsidiario. </t>
  </si>
  <si>
    <t>Componente</t>
  </si>
  <si>
    <t>Desarrollan líneas y enfoques precisos de acción e intervención, frente a los núcleos y problemas subsidiarios expuestos. Destaca a cuál de los 6 componentes se asocia principalmente o desde el cuál se ha creado alternativa de solución.</t>
  </si>
  <si>
    <t>Nombre del indicador / Producto / Resultado / Impacto / Variable</t>
  </si>
  <si>
    <t>Es la expresión verbal, precisa y concreta que  identifica al indicador. No incluye la unidad de medida, el área geográfica o cualquier información adicional.</t>
  </si>
  <si>
    <t>Indicador / Indicador de Producto / Indicador de Resultado / Indicador de Impacto</t>
  </si>
  <si>
    <t xml:space="preserve">Es una expresión cuantitativa observable y verificable que permite describir características o comportamientos del producto, resultado o impacto, para evaluar el cumplimiento de objetivos. Sirve para medir el avance en el cumplimiento de las metas. </t>
  </si>
  <si>
    <t>Descripción del indicador</t>
  </si>
  <si>
    <t xml:space="preserve">Explica con claridad y exactitud las características específicas o diferenciadoras del indicador. Debe contener la aclaración de términos poco comunes o técnicos que el indicador contenga. </t>
  </si>
  <si>
    <t>Población objetivo</t>
  </si>
  <si>
    <t xml:space="preserve">Descripción de la población a la cual está dirigida la intervención, puede incluirse grupos poblacionales específicos o ciudadanía en general. </t>
  </si>
  <si>
    <t>Tipo de Indicador</t>
  </si>
  <si>
    <r>
      <rPr>
        <sz val="10"/>
        <color rgb="FF000000"/>
        <rFont val="Arial"/>
        <family val="2"/>
      </rPr>
      <t xml:space="preserve">Se debe identificar el nivel al que corresponde el indicador:
- </t>
    </r>
    <r>
      <rPr>
        <b/>
        <sz val="10"/>
        <color rgb="FF000000"/>
        <rFont val="Arial"/>
        <family val="2"/>
      </rPr>
      <t>Impacto</t>
    </r>
    <r>
      <rPr>
        <sz val="10"/>
        <color rgb="FF000000"/>
        <rFont val="Arial"/>
        <family val="2"/>
      </rPr>
      <t>: Medida que muestra el efecto a largo plazo de las actividades del programa en la población global.</t>
    </r>
    <r>
      <rPr>
        <b/>
        <sz val="10"/>
        <color rgb="FF000000"/>
        <rFont val="Arial"/>
        <family val="2"/>
      </rPr>
      <t xml:space="preserve"> 
</t>
    </r>
    <r>
      <rPr>
        <sz val="10"/>
        <color rgb="FF000000"/>
        <rFont val="Arial"/>
        <family val="2"/>
      </rPr>
      <t xml:space="preserve">- </t>
    </r>
    <r>
      <rPr>
        <b/>
        <sz val="10"/>
        <color rgb="FF000000"/>
        <rFont val="Arial"/>
        <family val="2"/>
      </rPr>
      <t>Resultado:</t>
    </r>
    <r>
      <rPr>
        <sz val="10"/>
        <color rgb="FF000000"/>
        <rFont val="Arial"/>
        <family val="2"/>
      </rPr>
      <t xml:space="preserve"> Es un punto de referencia que permite observar y medir el avance en el logro de una meta de resultado.
</t>
    </r>
    <r>
      <rPr>
        <b/>
        <sz val="10"/>
        <color rgb="FF000000"/>
        <rFont val="Arial"/>
        <family val="2"/>
      </rPr>
      <t xml:space="preserve">- Producto: </t>
    </r>
    <r>
      <rPr>
        <sz val="10"/>
        <color rgb="FF000000"/>
        <rFont val="Arial"/>
        <family val="2"/>
      </rPr>
      <t>Mide los bienes, servicios o actividades entregadas directamente como resultado de intervención.</t>
    </r>
  </si>
  <si>
    <t>Fórmula de cálculo</t>
  </si>
  <si>
    <t>Indica las variables que componen el indicador, a través de letras, números, siglas o abreviaturas asignados para identificarlo. Posteriormente, especifica el numerador y el denominador para definir la forma de cálculo del indicador; por ejemplo, Indicador: Generación de residuos sólidos per cápita (Sigla: GTRSPC) | Fórmula:  V1/V2.
Numerador: V1= Generación total de residuos sólidos (Sigla: GTRSP) | Denominador: V2= Número total de habitantes del municipio de Medellín (Sigla: hab.)</t>
  </si>
  <si>
    <t>Variables que componen la fórmula</t>
  </si>
  <si>
    <r>
      <rPr>
        <sz val="10"/>
        <color rgb="FF000000"/>
        <rFont val="Arial"/>
        <family val="2"/>
      </rPr>
      <t xml:space="preserve">Es la definición o explicación de las variables que hacen parte de la fórmula del indicador y que son necesarias para calcular el valor del mismo. </t>
    </r>
    <r>
      <rPr>
        <b/>
        <sz val="10"/>
        <color rgb="FF000000"/>
        <rFont val="Arial"/>
        <family val="2"/>
      </rPr>
      <t xml:space="preserve"> 
V1:</t>
    </r>
    <r>
      <rPr>
        <sz val="10"/>
        <color rgb="FF000000"/>
        <rFont val="Arial"/>
        <family val="2"/>
      </rPr>
      <t xml:space="preserve"> Variable 1
</t>
    </r>
    <r>
      <rPr>
        <b/>
        <sz val="10"/>
        <color rgb="FF000000"/>
        <rFont val="Arial"/>
        <family val="2"/>
      </rPr>
      <t>V2</t>
    </r>
    <r>
      <rPr>
        <sz val="10"/>
        <color rgb="FF000000"/>
        <rFont val="Arial"/>
        <family val="2"/>
      </rPr>
      <t>: Variable 2</t>
    </r>
  </si>
  <si>
    <t>Fuente de datos</t>
  </si>
  <si>
    <t xml:space="preserve">Nombre de las fuentes de información que producen y/o suministran la información que permite acceder a los datos con el fin de construir el indicador y operación estadistica que produce la fuente; puede tratarse de una entidad, informe o base de datos oficial, entre otras que puedan ser verificables y de fácil acceso para quienes planean y reportan el avance en los indicadores. </t>
  </si>
  <si>
    <t>Unidad de Medida</t>
  </si>
  <si>
    <t>Es una cantidad estandarizada de una determinada magnitud física con la cual se mide el indicador. Todas las unidades denotan cantidades escalares, por ejemplo: Porcentaje, número, toneladas, metros, kilómetros, millones de pesos, etc.</t>
  </si>
  <si>
    <t>Periodicidad del cálculo del indicador</t>
  </si>
  <si>
    <t>Frecuencia con la que se calcula el indicador, teniendo en cuenta la frecuencia con la que se genera la información de las variables que lo componen, por ejemplo: Diario, Semanal, Mensual, Anual, Bianual, Docenal, etc.</t>
  </si>
  <si>
    <t>Fecha/Periodo de actualización</t>
  </si>
  <si>
    <t>De acuerdo a la periodicidad del cálculo del indicador, definir en que fecha o periodo se dispone del dato y, por tanto, se actualiza en SIEM
* Si el indicador es anual, registrar el mes de actualización
* Si el indicador es mensual, registrar el día o número de semana de actualización
* Si el indicador es anual, registrar los dos meses de actualización</t>
  </si>
  <si>
    <t>Línea Base</t>
  </si>
  <si>
    <t xml:space="preserve">Corresponde al valor de la última medición oficial disponible del indicador. Esta se debe actualizar periódicamente y debe estar sustentada en evidencias oficiales. </t>
  </si>
  <si>
    <t>Año de la Línea Base</t>
  </si>
  <si>
    <t xml:space="preserve">Año al cual corresponde el valor de la linea de base establecida. </t>
  </si>
  <si>
    <t>Unidad de Medida de la Linea Base</t>
  </si>
  <si>
    <t xml:space="preserve">Es la forma en la que se cuantifica o mide el estado inicial del indicador antes de implementar acciones de la política. Por ejemplo, puede expresarse en porcentaje, número, toneladas, metros, kilómetros, millones de pesos, etc. La unidad de medida de la línea base, debe ser igual a la unidad de medida del indicador. </t>
  </si>
  <si>
    <t>Meta del indicador</t>
  </si>
  <si>
    <t xml:space="preserve">Representa el objetivo cuantificable que se espera alcanzar en periodos de tiempo determinados, dentro del horizonte temporal de la PPPC. Está directamente relacionado con la mejora o cambio esperado respecto a la línea base y representa una distancia entre ambas. </t>
  </si>
  <si>
    <t>Año Meta</t>
  </si>
  <si>
    <t>Año al que corresponde el cumplimiento del valor programado de la meta.</t>
  </si>
  <si>
    <t>Comportamiento deseado del indicador</t>
  </si>
  <si>
    <t xml:space="preserve">Indica el comportamiento que desea en tres categorias: Incrementar, Mantener o Disminuir. </t>
  </si>
  <si>
    <t xml:space="preserve">Tipo de Acumulación </t>
  </si>
  <si>
    <r>
      <rPr>
        <sz val="10"/>
        <color rgb="FF000000"/>
        <rFont val="Arial"/>
        <family val="2"/>
      </rPr>
      <t xml:space="preserve">Se refiere a cómo se registran los avances en el indicador a lo largo del tiempo. Puede ser:
</t>
    </r>
    <r>
      <rPr>
        <b/>
        <sz val="10"/>
        <color rgb="FF000000"/>
        <rFont val="Arial"/>
        <family val="2"/>
      </rPr>
      <t>Acumulado</t>
    </r>
    <r>
      <rPr>
        <sz val="10"/>
        <color rgb="FF000000"/>
        <rFont val="Arial"/>
        <family val="2"/>
      </rPr>
      <t xml:space="preserve">: El indicador se mide cada año de manera individual, pero al finalizar el periodo de Gobierno se suman los resultados de todos los años. 
</t>
    </r>
    <r>
      <rPr>
        <b/>
        <sz val="10"/>
        <color rgb="FF000000"/>
        <rFont val="Arial"/>
        <family val="2"/>
      </rPr>
      <t xml:space="preserve">Flujo: </t>
    </r>
    <r>
      <rPr>
        <sz val="10"/>
        <color rgb="FF000000"/>
        <rFont val="Arial"/>
        <family val="2"/>
      </rPr>
      <t xml:space="preserve">Los resultados de un año, no se acumulan con los del siguiente. En este caso, se brinda mayor importancia al avance que se obtenga en el último año de cada periodo.
</t>
    </r>
    <r>
      <rPr>
        <b/>
        <sz val="10"/>
        <color rgb="FF000000"/>
        <rFont val="Arial"/>
        <family val="2"/>
      </rPr>
      <t xml:space="preserve">Capacidad: </t>
    </r>
    <r>
      <rPr>
        <sz val="10"/>
        <color rgb="FF000000"/>
        <rFont val="Arial"/>
        <family val="2"/>
      </rPr>
      <t xml:space="preserve">Si toma en cuenta la línea de base (descuenta lo que ya se ha hecho antes de iniciar el período). Centra su atención en la medición del avance entre el punto de partida (línea base) y el punto esperado de llegada (meta).
</t>
    </r>
    <r>
      <rPr>
        <b/>
        <sz val="10"/>
        <color rgb="FF000000"/>
        <rFont val="Arial"/>
        <family val="2"/>
      </rPr>
      <t xml:space="preserve">Mantenimiento (Stock): </t>
    </r>
    <r>
      <rPr>
        <sz val="10"/>
        <color rgb="FF000000"/>
        <rFont val="Arial"/>
        <family val="2"/>
      </rPr>
      <t xml:space="preserve">Busca que se mantenga un resultado o un logro que se tiene a una fecha determinada (p.ej. mantener la cobertura universal en la prestación de un servicio). La línea base y meta, debe ser el mismo valor.
</t>
    </r>
    <r>
      <rPr>
        <b/>
        <sz val="10"/>
        <color rgb="FF000000"/>
        <rFont val="Arial"/>
        <family val="2"/>
      </rPr>
      <t xml:space="preserve">Reducción: </t>
    </r>
    <r>
      <rPr>
        <sz val="10"/>
        <color rgb="FF000000"/>
        <rFont val="Arial"/>
        <family val="2"/>
      </rPr>
      <t>Busca que se disminuyan los valores en el transcurso de los años (p. ej. reducir muertes, hurtos, accidentes, atentados terroristas etc.)</t>
    </r>
    <r>
      <rPr>
        <b/>
        <sz val="10"/>
        <color rgb="FF000000"/>
        <rFont val="Arial"/>
        <family val="2"/>
      </rPr>
      <t xml:space="preserve">.                                                                                    Reducción periódica: </t>
    </r>
    <r>
      <rPr>
        <sz val="10"/>
        <color rgb="FF000000"/>
        <rFont val="Arial"/>
        <family val="2"/>
      </rPr>
      <t xml:space="preserve">Busca que se disminuyan los valores mes a mes, los avances se acumulan durante el año. </t>
    </r>
  </si>
  <si>
    <t>Resultado</t>
  </si>
  <si>
    <t>Se registra el resultado cuantitativo obtenido para la medición del indicador en el periodo correspondiente.</t>
  </si>
  <si>
    <t>Observaciones</t>
  </si>
  <si>
    <t>Especifica aquellos aspectos que limitan, impiden o retrasan, según sea el caso, la obtención de los datos que permiten calcular el indicador. Además, permite registrar el resultado cualitativo obtenido para la medición del indicador en el periodo correspondiente, o las observaciones frente a las dificultades o aspectos favorecedores para el cumplimiento de la meta.</t>
  </si>
  <si>
    <t>Fuente de verificación</t>
  </si>
  <si>
    <t>Se describe la fuente de la cual se obtiene la información, las cuales puedan servir de soporte o evidencia para sustentar el cumplimiento de los indicadores. Esta información debe estar sistematizada y reposar en carpetas en las cuales se pueda almacenar documentos con una identificación que permita realizar la gestión oportuna de la información y aportar a la transparencia en la gestión.</t>
  </si>
  <si>
    <t>Ámbito de desagregación Poblacional</t>
  </si>
  <si>
    <t>En Plan Indicativo señala a cuál o cuáles de los grupos poblacionales está orientado el indicador, y en las hojas para el seguimiento muestra específicamente a quiénes se dirigió la intervención, en caso de aplicar: Sexo, LGTBI, Rangos etarios, Discapacidad, Afro, Indigenas y Víctimas.</t>
  </si>
  <si>
    <t>Ámbito de desagregación territorial</t>
  </si>
  <si>
    <t xml:space="preserve">En Plan Indicativo señala la forma de desagregación del indicador de acuerdo a su discriminación territorial según aplique o se especifiquen los datos, y en las hojas para el seguimiento muestra específicamente la discriminación territorial en donde se realizó la intervención. Se puede registrar una o varias comunas y corregimientos. </t>
  </si>
  <si>
    <t>Código  y Nombre Dependencia Responsable (reporte)</t>
  </si>
  <si>
    <t>Se refiere al nombre y código de la dependencia responsable del procesamientoy reporte de los datos para la obtención del indicador. Revisar pestaña denominada "Cod y nombre dependencia"</t>
  </si>
  <si>
    <t>Unidad responsable del reporte</t>
  </si>
  <si>
    <t>Unidad o equipo de trabajo responsable de procesar los datos para obtener el indicador y reportarlos.</t>
  </si>
  <si>
    <t>Código y Nombre Dependencia Responsable (misional)</t>
  </si>
  <si>
    <t>Se refiere al nombre y código de la dependencia responsable misional del indicador. Es decir, de liderar las principales acciones o intervenciones que permiten el logro o acercamiento a las metas propuestas. Revisar pestaña denominada "Cod y nombre dependencia"</t>
  </si>
  <si>
    <t>Nombre Dependencia Responsable (misional)</t>
  </si>
  <si>
    <t>Se refiere al código de la dependencia responsable del procesamiento de los datos para la obtención del indicador. Revisar pestaña con el nombre Código y nombre dependencia</t>
  </si>
  <si>
    <t>Código del Proyecto</t>
  </si>
  <si>
    <t xml:space="preserve">Identificador único del proyecto. </t>
  </si>
  <si>
    <t>Nombre del Proyecto</t>
  </si>
  <si>
    <t xml:space="preserve">Nombre oficial del proyecto. </t>
  </si>
  <si>
    <t>Meta del Proyecto</t>
  </si>
  <si>
    <t xml:space="preserve">Meta final que busca alcanzar el proyecto. </t>
  </si>
  <si>
    <t>Meta de la vigencia</t>
  </si>
  <si>
    <t>Meta del Indicador de Producto, anualizada.</t>
  </si>
  <si>
    <t>Presupuesto Programado</t>
  </si>
  <si>
    <t>Monto total asignado para el proyecto.</t>
  </si>
  <si>
    <t>Porcentaje del presupuesto programado para las acciones
(0 a 100)</t>
  </si>
  <si>
    <t>Porcentaje del presupuesto total del proyecto programado para la ejecución de las acciones (0 a 100)</t>
  </si>
  <si>
    <t>Presupuesto Ejecutado</t>
  </si>
  <si>
    <t xml:space="preserve">Monto total ejecutado para alcanzar las metas propuestas. </t>
  </si>
  <si>
    <t>Programa presupuestal</t>
  </si>
  <si>
    <t>Se refiere a la clasificación programática, según el Manual de Clasificación Programático del Gasto Público. Es una manera de agrupar, componer y presentar el gasto con el fin de establecer una relación entre este y los bienes y servicios entregados al Estado, a través del análisis de los resultados esperados en cada programa.</t>
  </si>
  <si>
    <t>Código Rubro Presupuestal</t>
  </si>
  <si>
    <t xml:space="preserve">Se refiere al código que identifica el Rubro presupuestal a través del cuál se financia la ejecución de acciones de la PPPC. </t>
  </si>
  <si>
    <t>Concepto rubro presupuestal</t>
  </si>
  <si>
    <t>Representa cada uno de los ítems o conceptos en que se divide el presupuesto de la Entidad y que será asignado a las acciones de la PPPC.</t>
  </si>
  <si>
    <t>Rubro presupuestal vigente</t>
  </si>
  <si>
    <t>Representa el valor asignado para la ejecución de la PPPC del Rubro presupuestal en cada vigencia</t>
  </si>
  <si>
    <t>Compromiso</t>
  </si>
  <si>
    <t xml:space="preserve">Refiere el valor comprometido del Rubro presupuestal asignado para la ejecución de las acciones de la PPPC. </t>
  </si>
  <si>
    <t>% Comp</t>
  </si>
  <si>
    <t>Es el porcentaje total comprometido sobre el valor del rubro presupuestal asignado para la ejecución de las acciones de la PPPC (=+Compromiso/Rubro presupuestal vigente).</t>
  </si>
  <si>
    <t>Inversión</t>
  </si>
  <si>
    <t xml:space="preserve">Refiere el valor total invertido en la ejecución de las acciones de la PPPC. </t>
  </si>
  <si>
    <t>% Inver</t>
  </si>
  <si>
    <t>Es el porcentaje total invertido sobre el valor del rubro presupuestal asignado para la ejecución de las acciones de la PPPC (=+Inversión/Rubro presupuestal vigente).</t>
  </si>
  <si>
    <t>Observaciones Presupuesto</t>
  </si>
  <si>
    <t>Cualquier aclaración o detalle adicional sobre el presupuesto.</t>
  </si>
  <si>
    <t>Observaciones Seguimiento</t>
  </si>
  <si>
    <t>Corresponde al registro de los logros obtenidos durante el periodo de medición del indicador de manera consolidada. En este también se identifican las situaciones que conllevaron a logros no esperados y las acciones que al respecto se hayan adelantado. Se trata de las anotaciones que puedan aportar a la fase de "Aprendizaje reflexivo".</t>
  </si>
  <si>
    <t>Matriz Integrada de Seguimiento y Evaluación de la Política Pública de Participación Ciudadana del Distrito de Medellín
Seguimiento - Capa Interna</t>
  </si>
  <si>
    <t>Matriz Integrada de Seguimiento y Evaluación de la Política Pública de Participación Ciudadana del Distrito de Medellín</t>
  </si>
  <si>
    <t>PERIODO DEL SEGUIMIENTO:</t>
  </si>
  <si>
    <t>De</t>
  </si>
  <si>
    <t>Julio</t>
  </si>
  <si>
    <t>Periodo:</t>
  </si>
  <si>
    <t>A</t>
  </si>
  <si>
    <t>Diciembre</t>
  </si>
  <si>
    <t>Plan de Desarrollo Distrital</t>
  </si>
  <si>
    <t>Identificación general</t>
  </si>
  <si>
    <t>Características del Indicador</t>
  </si>
  <si>
    <t>Horizonte temporal</t>
  </si>
  <si>
    <t>Registro del seguimiento - trimestral</t>
  </si>
  <si>
    <t>Responsables</t>
  </si>
  <si>
    <t>Seguimiento presupuestal</t>
  </si>
  <si>
    <t>Aprendizaje reflexivo</t>
  </si>
  <si>
    <t>Trimestre III - 2024</t>
  </si>
  <si>
    <t>Trimestre IV - 2024</t>
  </si>
  <si>
    <t>Desagregación Territorial</t>
  </si>
  <si>
    <t>Unidades y dependencias responsables de la ejecución</t>
  </si>
  <si>
    <t>Inversión por producto</t>
  </si>
  <si>
    <t>Análisis anual</t>
  </si>
  <si>
    <t>Pilar o Eje 
Plan de Desarrollo Distrital</t>
  </si>
  <si>
    <t xml:space="preserve">Programa
Plan de Desarrollo Distrital </t>
  </si>
  <si>
    <t>Proyectos Estratégicos 
Plan de Desarrollo Distrital</t>
  </si>
  <si>
    <t>Código Indicador</t>
  </si>
  <si>
    <t xml:space="preserve"> Componente</t>
  </si>
  <si>
    <t>Producto/accion</t>
  </si>
  <si>
    <t xml:space="preserve"> Indicador de Producto</t>
  </si>
  <si>
    <t>Unidad de medida del indicador</t>
  </si>
  <si>
    <t>Periodicidad de cálculo del indicador</t>
  </si>
  <si>
    <t>Fecha/periodo de actualización</t>
  </si>
  <si>
    <t>Línea base</t>
  </si>
  <si>
    <t>Año base</t>
  </si>
  <si>
    <t>Unidad de medida de la línea base</t>
  </si>
  <si>
    <t>Año meta</t>
  </si>
  <si>
    <t>Comportamiento deseado</t>
  </si>
  <si>
    <t>Tipo de acumulación</t>
  </si>
  <si>
    <t xml:space="preserve">Observaciones </t>
  </si>
  <si>
    <t>Fuente de verificacion</t>
  </si>
  <si>
    <t>LGBT</t>
  </si>
  <si>
    <t>Rangos etarios</t>
  </si>
  <si>
    <t>Discapacidad</t>
  </si>
  <si>
    <t>Afro</t>
  </si>
  <si>
    <t>Indígena</t>
  </si>
  <si>
    <t>Víctimas</t>
  </si>
  <si>
    <t>Comunas-Corregimientos</t>
  </si>
  <si>
    <t>Código Dependencia Responsable (reporte)</t>
  </si>
  <si>
    <t>Nombre Dependencia Responsable (reporte)</t>
  </si>
  <si>
    <t>Código Dependencia Responsable (misional)</t>
  </si>
  <si>
    <t xml:space="preserve">Código del Proyecto 
</t>
  </si>
  <si>
    <t xml:space="preserve">Presupuesto programado </t>
  </si>
  <si>
    <t>Presupuesto ejecutado</t>
  </si>
  <si>
    <t>Observaciones seguimiento</t>
  </si>
  <si>
    <t>Pilar 1. Bienestar Social y Económico</t>
  </si>
  <si>
    <t>Diseñar e implementar acciones de carácter pedagógico para promocionar los planes de convivencia estudiantil.</t>
  </si>
  <si>
    <t>Desarrollo de estrategias para la promoción de factores protectores y prevención de riesgos psicosociales</t>
  </si>
  <si>
    <t>Reconocimiento y confianza</t>
  </si>
  <si>
    <t>Confianza social y política</t>
  </si>
  <si>
    <t>Coordinación, sinergias y alianzas para el fortalecimiento a la ciudadanía</t>
  </si>
  <si>
    <t>Niños, niñas, jóvenes, adolescentes, directivos docentes, docentes y padres de familia</t>
  </si>
  <si>
    <t>Indicador de Producto</t>
  </si>
  <si>
    <t>Número</t>
  </si>
  <si>
    <t>Corto plazo</t>
  </si>
  <si>
    <t xml:space="preserve">Secretaría de Educación
</t>
  </si>
  <si>
    <t>Definir las condiciones para la creación y puesta en funcionamiento el Comité Escolar de Convivencia.</t>
  </si>
  <si>
    <t>Promoción y comunicación para la Movilización y la participación ciudadana</t>
  </si>
  <si>
    <t>Actualizar y socializar los manuales de convivencia de las Instituciones Educativas</t>
  </si>
  <si>
    <t>Asesorar y acompañar las experiencias significativas sobre procesos de liderazgo estudiantil</t>
  </si>
  <si>
    <t>Asesoría y asistencia a líderes estudiantiles de establecimientos educativos oficiales</t>
  </si>
  <si>
    <t>Agenciamiento y modelos de representación</t>
  </si>
  <si>
    <t>Surgimiento y renovación de actores, sectores y agendas de la participación</t>
  </si>
  <si>
    <t>Realizar asesorías y asistencias técnicas en los distintos procesos institucionales para la consolidación de los manuales de convivencia, planes de convivencia, proyectos de familia, proyecto de educación sexual y construcción de ciudadanía; y de prevención al consumo de sustancias psicoactivas</t>
  </si>
  <si>
    <t>Habilidades y competencias para el ejercicio de la ciudadanía y los liderazgos</t>
  </si>
  <si>
    <t>Formación para la ciudadanía activa</t>
  </si>
  <si>
    <t>Brindar las herramientas pedagógicas y metodológicas necesarias para la construcción e implementación del Plan de Transformación Sostenible en las instituciones educativas.</t>
  </si>
  <si>
    <t>Planes de Transformación Sostenible de establecimientos educativos oficiales y no oficiales construidos y acompañados.</t>
  </si>
  <si>
    <t>Fortalecer las habilidades de liderazgo de los líderes estudiantiles egresados a través de un proceso formativo que también les permita proyectarse a nuevos escenarios de participación.</t>
  </si>
  <si>
    <t xml:space="preserve">Líderes estudiantiles egresados de instituciones educativas oficiales y no oficiales beneficiados con estrategias de liderazgo </t>
  </si>
  <si>
    <t>Mediano Plazo</t>
  </si>
  <si>
    <t>Enero</t>
  </si>
  <si>
    <t>Territorialización</t>
  </si>
  <si>
    <t>Trimestre I - 2025</t>
  </si>
  <si>
    <t>Trimestre II - 2025</t>
  </si>
  <si>
    <t>Trimestre III - 2025</t>
  </si>
  <si>
    <t>Trimestre IV - 2025</t>
  </si>
  <si>
    <t xml:space="preserve"> Desagregación Grupo Poblacional</t>
  </si>
  <si>
    <t>Sexo</t>
  </si>
  <si>
    <t>Asesorar y asistir técnicamente y/o acompañar el diseño y puesta en marcha de los planes de convivencia estudiantil.</t>
  </si>
  <si>
    <t>Asesorar y asistir técnicamente y/o acompañar el diseño y puesta en marcha de los manuales de convivencia escolar de las Instituciones Educativas Oficiales de Medellín</t>
  </si>
  <si>
    <t>Asesorar y asistir técnicamente los proyectos educativos transversales que se relacionan con el objeto del PEEP</t>
  </si>
  <si>
    <t>Asesorar y asistir técnicamente y/o acompañar el diseño y puesta en marcha del Comité Escolar de Convivencia.</t>
  </si>
  <si>
    <t>Porcentaje</t>
  </si>
  <si>
    <t xml:space="preserve">Establecimientos educativos oficiales que cuentan con Plan de asesoría, asistencia técnica y/o  acompañamiento para el diseño y puesta en marcha de los Planes de Convivencia Escolar </t>
  </si>
  <si>
    <t>Establecimientos educativos oficiales que cuentan con Plan de asesoría, asistencia técnica y/o  acompañamiento para el diseño y puesta en marcha de los Comites Escolares de Convivencia de acuerdo a la ley 1620 y su decreto reglamentario 1965</t>
  </si>
  <si>
    <t>Establecimientos educativos oficiales que cuentan con Plan de asesoría, asistencia técnica y/o  acompañamiento para el diseño  y puesta en marcha de los Manuales de Convivencia Escolar con procedimientos que contemplan los MARC, basados en la justicia restaurativa y consensual.</t>
  </si>
  <si>
    <t>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t>
  </si>
  <si>
    <t>Incrementar</t>
  </si>
  <si>
    <t>Flujo</t>
  </si>
  <si>
    <t>El total de IEO asesoradas y asistidas técnicamente para el diseño y puesta en marcha de los planes de convivencia escolar durante este período fue de 108 (47%) . Los resultados relacionados en cada trimestre no son acumulados, toda vez que la asesoría y asistencia técnica se realiza a necesidad  y/o solicitud de cada institución.</t>
  </si>
  <si>
    <t>El total de IEO asesoradas y asistidas técnicamente para el diseño y puesta en marcha de los planes de convivencia escolar durante este período fue de 68 (30%). Los resultados relacionados en cada trimestre no son acumulados, toda vez que la asesoría y asistencia técnica se realiza a necesidad  y/o solicitud de cada institución.</t>
  </si>
  <si>
    <t>El total de IEO asesoradas y asistidas técnicamente para el diseño y puesta en marcha de los comités escolares de convivencia escolar durante este período fue de 69 (30%). Los resultados relacionados en cada trimestre no son acumulados, toda vez que la asesoría y asistencia técnica se realiza a necesidad  y/o solicitud de cada institución.</t>
  </si>
  <si>
    <t>El total de IEO asesoradas y asistidas técnicamente para el diseño y puesta en marcha de los comités escolares de convivencia escolar durante este período fue de 15 (7%). Los resultados relacionados en cada trimestre no son acumulados, toda vez que la asesoría y asistencia técnica se realiza a necesidad  y/o solicitud de cada institución.</t>
  </si>
  <si>
    <t>El total de IEO asesoradas y asistidas técnicamente para el diseño y puesta en marcha de los manuales de convivencia escolar durante este período fue de 155 (68%).  Los resultados relacionados en cada trimestre no son acumulados, toda vez que la asesoría y asistencia técnica se realiza a necesidad  y/o solicitud de cada institución</t>
  </si>
  <si>
    <t>El total de IEO asesoradas y asistidas técnicamente para el diseño y puesta en marcha de los manuales de convivencia escolar durante este período fue de 121 (53%). Los resultados relacionados en cada trimestre no son acumulados, toda vez que la asesoría y asistencia técnica se realiza a necesidad  y/o solicitud de cada institución.</t>
  </si>
  <si>
    <t>El total de IEO asesoradas y asistidas técnicamente en los proyectos educativos transversarles durante este período fue de 228 (100%).  Los resultados relacionados en cada trimestre no son acumulados, toda vez que la asesoría y asistencia técnica se realiza a necesidad  y/o solicitud de cada institución</t>
  </si>
  <si>
    <t>El total de IEO asesoradas y asistidas técnicamente en los proyectos educativos transversarles durante este período fue de 212 (93%). Los resultados relacionados en cada trimestre no son acumulados, toda vez que la asesoría y asistencia técnica se realiza a necesidad  y/o solicitud de cada institución.</t>
  </si>
  <si>
    <t>(V1 / V2) * 100</t>
  </si>
  <si>
    <t>V1: Número de establecimientos educativos oficiales que cuentan con Plan de asesoría, asistencia técnica y/o  acompañamiento para el diseño y puesta en marcha de los Planes de Convivencia Escolar 
V2: Total de establecimientos educativos oficiales</t>
  </si>
  <si>
    <t>V1: Número de establecimientos educativos oficiales que cuentan con Plan de asesoría, asistencia técnica y/o  acompañamiento para el diseño y puesta en marcha de los Comites Escolares de Convivencia de acuerdo a la ley 1620 y su decreto reglamentario 1965
V2: Total de establecimientos educativos oficiales</t>
  </si>
  <si>
    <t>V1: Número de establecimientos educativos oficiales que cuentan con Plan de asesoría, asistencia técnica y/o  acompañamiento para el diseño  y puesta en marcha de los Manuales de Convivencia Escolar con procedimientos que contemplan los MARC, basados en la justicia restaurativa y consensual. 
V2: Total de establecimientos educativos oficiales</t>
  </si>
  <si>
    <t>V1: Número de 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
V2: Total de establecimientos educativos oficiales</t>
  </si>
  <si>
    <t>Trimestral</t>
  </si>
  <si>
    <t>NA</t>
  </si>
  <si>
    <t>Toda la ciudad</t>
  </si>
  <si>
    <t>El presupuesto relacionado, es el presupuesto total de todo el proyecto.</t>
  </si>
  <si>
    <t xml:space="preserve"> CONSOLIDACIÓN DE LA ESCUELA COMO ENTORNO PROTECTOR</t>
  </si>
  <si>
    <t>El total de IEO asesoradas y asistidas técnicamente para el diseño y puesta en marcha de los planes de convivencia escolar durante este período fue de 121 (53%). Los resultados relacionados en cada trimestre no son acumulados, toda vez que la asesoría y asistencia técnica se realiza a necesidad  y/o solicitud de cada institución.</t>
  </si>
  <si>
    <t>Línea Construyo Convivencia</t>
  </si>
  <si>
    <t>Sistema de Información - SIGIPEP</t>
  </si>
  <si>
    <t>El total de IEO asesoradas y asistidas técnicamente para el diseño y puesta en marcha de los manuales de convivencia escolar durante este período fue de 155 (68%). Los resultados relacionados en cada trimestre no son acumulados, toda vez que la asesoría y asistencia técnica se realiza a necesidad  y/o solicitud de cada institución.</t>
  </si>
  <si>
    <t>El total de IEO asesoradas y asistidas técnicamente en los proyectos educativos transversales durante este período fue de 224 (98%). Los resultados relacionados en cada trimestre no son acumulados, toda vez que la asesoría y asistencia técnica se realiza a necesidad  y/o solicitud de cada institución.</t>
  </si>
  <si>
    <t>El total de IEO asesoradas y asistidas técnicamente para el diseño y puesta en marcha de los comités escolares de convivencia escolar durante este período fue de 107 (47%). Los resultados relacionados en cada trimestre no son acumulados, toda vez que la asesoría y asistencia técnica se realiza a necesidad  y/o solicitud de cada institución.</t>
  </si>
  <si>
    <t>Femenino y masculino</t>
  </si>
  <si>
    <t>Todas las edades</t>
  </si>
  <si>
    <t>DESARROLLO DE ESTRATEGIAS PARA LA PROMOCIÓN DE FACTORES PROTECTORES Y LA PREVENCIÓN DE FACTORES DE RIESGO PSICOSOCIALES</t>
  </si>
  <si>
    <t>Stock</t>
  </si>
  <si>
    <t>Acumulado</t>
  </si>
  <si>
    <t>Líderes estudiantiles sensibilizados y formados en habilidades de liderazgo.</t>
  </si>
  <si>
    <t>V1</t>
  </si>
  <si>
    <t>V1: Número de líderes estudiantiles electos de establecimientos educativos oficiales, no oficiales y de cobertura sensibilizados y formados en habilidades de liderazgo</t>
  </si>
  <si>
    <t>Registros administrativos de la SED
SIGIPEEP (Sistema Integral de gestión de la información del porgrama Escuela Entorno Protector)</t>
  </si>
  <si>
    <t>Mensual</t>
  </si>
  <si>
    <t>No aplica</t>
  </si>
  <si>
    <t>Para estas fechas se realizaron 3 espacios macro en dónde se sensibilizaron y de realizó un espacio de Formación con Alma Rosa, y encuentros de sensibilización como la Posesión de líderes estudiantiles, y los "encuentros territoriales con vos" espacios de esparcimiento, acompañamiento y asesorías a los líderes estudiantiles por parte de El Líder Sos Vos y demás entidades del distrito de Medellín</t>
  </si>
  <si>
    <t>Formatos de Asistencia. (Formularios de Inscrición, de Asistencia)</t>
  </si>
  <si>
    <t>14-26</t>
  </si>
  <si>
    <t xml:space="preserve">Equipo de EL LÍDER SOS VOS </t>
  </si>
  <si>
    <t>En el año 2024, el equipo de El Líder Sos Vos no contaba con un proyecto de inversión; este fue formulado para ejecutarse a partir del año 2025.</t>
  </si>
  <si>
    <t>V1: Número de Planes de Transformación Sostenible de establecimientos educativos oficiales, no oficiales y de cobertura construidos y acompañados</t>
  </si>
  <si>
    <t>En esta parte apenas se estaba realizando el primer acompañamiento de asesoría a los Planes de Transformación Sostenibles. Se estaban implementando estrategias, logística y planeación del acompañamiento como tal de los Planes de Transformación y a las Instituciones Educactivas por parte del equipo de EL LÍDER SOS VOS y la MESA DISTRITAL DE DEMOCRACIA.</t>
  </si>
  <si>
    <t>No Aplica</t>
  </si>
  <si>
    <t xml:space="preserve">V1: Número de líderes estudiantiles egresados de instituciones educativas oficiales, no oficiales y de cobertura beneficiados con estrategias de liderazgo </t>
  </si>
  <si>
    <t>Registros administrativos de la SED</t>
  </si>
  <si>
    <t>Durante este periodo No estaba activo el Proyecto de "LA RED", estaba en un punto de revisión de propuestas para implementar durante el 2025.</t>
  </si>
  <si>
    <t xml:space="preserve">Este indicador empezará a operar a partir del año 2025 toda vez que en el mismo se iniciarán los acompañamientos a los estudiantes lideres egresados del 2024.  </t>
  </si>
  <si>
    <t>Nuevo</t>
  </si>
  <si>
    <t>Por el momento, se lleva un pequeño acercamiento a unas pocas Instituciones Educativas, ya que aún no han empezado los acompañamientos como tal a líderes electos debido a que este 7 de marzo se realizó el proceso de elección Institucional de líderes (Personería Estudiantil, Contraloría Escolar, Líder Deportivo SOYED), esperamos acompañar los líderes en los próximos días.</t>
  </si>
  <si>
    <t>ASESORÍA Y ASISTENCIA A LÍDERES ESTUDIANTILES DE ESTABLECIMIENTOS EDUCATIVOS</t>
  </si>
  <si>
    <t>Los Planes de Transformación Sostenibles se empezarán a acompañar a partir de abril del 2025.</t>
  </si>
  <si>
    <t>LA RED que va a ser la estrategia de acompañamiento para líderes egresados, está en proceso de estudios previos.</t>
  </si>
  <si>
    <t>Desde el Proyecto El Líder Sos Vos, se realizaron dos acompañamientos generales con los líderes estudiantiles, enfocándose en la sensibilización y formación para fortalecer sus habilidades de liderazgo. En mayo, se llevaron a cabo los primeros Encuentros Territoriales (11 en total), en los que participaron 800 líderes estudiantiles, y se dio inicio al acompañamiento en la construcción de sus Planes de Transformación Sostenible.
El segundo Encuentro General tuvo lugar el viernes 30 de agosto, en el marco de la Semana de la Juventud. En este evento participaron 622 líderes estudiantiles y, por primera vez, se contó con la presencia de los recién electos Líderes Deportivos SoyED, un nuevo rol de liderazgo nacido de la colaboración con el INDER. En total, participaron 119 líderes que no habían tenido la oportunidad de asistir al primer encuentro.
Además, se consideró la participación de los líderes estudiantiles en los espacios de asesoría sobre el Plan de Transformación Sostenible, donde participaron 121 líderes que no habían estado presentes en los primeros espacios. También se incluyó su participación en el evento de balance del Proyecto En El Colegio Contamos Con Vos, dirigido a los líderes estudiantiles.
Finalmente, se tomó en cuenta la participación en los espacios de sensibilización organizados por entidades como la Contraloría Distrital de Medellín, la Personería Distrital de Medellín, el INDER y la Cámara de Comercio de Medellín para Antioquia, así como en los espacios realizados en articulación con el Despacho de la Primera Dama y la Fundación Alma Rosa.</t>
  </si>
  <si>
    <t>Se elaboraron e implementaron 250 Planes de Transformación Sostenible en los establecimientos educativos oficiales y no oficiales del Distrito Especial de Medellín. Además, en colaboración con la Mesa Distrital de Democracia Escolar, se brindó acompañamiento y asesoría por categoría, a través de encuentros generales e individuales (tanto virtuales como presenciales).</t>
  </si>
  <si>
    <t>Sistema de Información del PEEP - SIGIPEEP (Sistema Integral de gestión de la información del porgrama Escuela Entorno Protector)</t>
  </si>
  <si>
    <t>Registros administrativos SED</t>
  </si>
  <si>
    <t>El total de IEO asesoradas y asistidas técnicamente para el diseño y puesta en marcha de los planes de convivencia escolar durante el período correspondiente al primer semestre de 2025 fue de 216 (95%)</t>
  </si>
  <si>
    <t>El total de IEO asesoradas y asistidas técnicamente para el diseño y puesta en marcha de los comités escolares de convivencia durante el período correspondiente al primer semestre de 2025 fue de 228(100%)</t>
  </si>
  <si>
    <t>El total de IEO asesoradas y asistidas técnicamente para el diseño y puesta en marcha de los manuales de convivencia escolar durante el período correspondiente al primer semestre de 2025 fue de 195 (86%)</t>
  </si>
  <si>
    <t>El total de IEO asesoradas y asistidas técnicamente en los proyectos educativos transversalesdurante el período correspondiente al primer semestre de 2025  fue de 228 (100%)</t>
  </si>
  <si>
    <t>Durante este periodo, se consolidaron avances significativos en el cumplimiento del indicador, el cual establece un total de 5 horas de formación: 4 horas formativas y 1 hora de sensibilización. Dicho cumplimiento se evidencia en las actividades desarrolladas durante estos meses, entre ellas:
-Sensibilización: La ceremonia de posesión de los líderes estudiantiles fue un espacio de sensibilización de más de una hora, que promovió la apropiación del rol por parte de los jóvenes del Distrito. 
-Formación: La realización de los Encuentros Territoriales con Vos permitió llevar procesos formativos a líderes de distintas comunas de Medellín, con una duración de 4 horas. Adicionalmente, se ofrecieron formaciones específicas por rol de liderazgo, orientadas al fortalecimiento de las capacidades y habilidades de personeros, representantes estudiantiles y líderes de mediación.                                                                                                                                                                                                                                                                                                                           
                                                                                                                                                                                                                                                                                                                                                                                                                                                                       Como resultado de estas acciones, se formaron 662 líderes estudiantiles.</t>
  </si>
  <si>
    <t xml:space="preserve">Formatos de Asistencia.                                                                                                                                                                                                                                                                                                                            Formularios de Inscrición de Asistencia.                                                                                                                                                                                                                                                                                                                     Registros audiovisuales y fotograficos. </t>
  </si>
  <si>
    <t xml:space="preserve">Durante este periodo se dio continuidad al proceso de activación de los Planes de Transformación Sostenible (PTS), mediante la realización de los Encuentros Territoriales con Vos en los meses de mayo y junio de 2025. Estos espacios permitieron acompañar, socializar, motivar y orientar a las instituciones educativas del Distrito en la formulación, construcción e implementación de sus respectivos PTS.
Varias instituciones educativas ya se encuentran desarrollando activamente sus planes, mientras que otras están en la etapa de formulación, lo que explica que aún no se haya consolidado la totalidad de la información en la base de datos general del proyecto.       
                                                                                                                                                                                                                                                                                                                                                                                                                                                                                        Se espera que, para el mes de julio, las instituciones educativas realicen la primera entrega de sus avances.                                                                                                                                                                                                                                                                                           </t>
  </si>
  <si>
    <t xml:space="preserve">Formatos de Asistencia.                                                                                                                                                                                                                                                                                                                                                                                                                                                                                                                                                                                                                                          Registros audiovisuales, documentales y fotograficos. </t>
  </si>
  <si>
    <t xml:space="preserve">La línea del proyecto El Líder Sos Vos - LA RED se encuentra actualmente en etapa precontractual, en la cual se está revisando la última propuesta presentada por la Institución Universitaria designada como posible operador del componente.                                                                                                                                                                                                                                                                                                                                                        
                                                                                                           </t>
  </si>
  <si>
    <t xml:space="preserve">Durante el mes de septiembre 2025, se consolidaron avances significativos en el cumplimiento del indicador, el cual establece un total de 5 horas de formación: 4 horas formativas y 1 hora de sensibilización. Dicho cumplimiento se evidencia en las actividades desarrolladas durante este periodo, entre ella 
-Sensibilización: La ceremonia de posesión de los líderes estudiantiles fue un espacio de sensibilización de más de una hora, que promovió la apropiación del rol por parte de los jóvenes del Distrito.  
-Formación: La realización de los Segundos Encuentros Territoriales con Vos permitió continuar con los procesos formativos a líderes de distintas comunas de Medellín, con una duración de 4 horas. 
Adicionalmente, se proyecta ofrecer una formación general en liderazgo el próximo mes dirigida a los líderes estudiantiles que no hayan participado en procesos formativos previos. Esta estará orientada al fortalecimiento de las capacidades y habilidades de personeros, representantes estudiantiles, contralores, líderes deportivos y líderes de mediación. </t>
  </si>
  <si>
    <t xml:space="preserve">Formatos de Asistencia.                                                                                                                                                                                                                                                                                                                            Formularios de Inscripción de Asistencia.                                                                                                                                                                                                                                                                                                                     Registros audiovisuales y fotograficos. </t>
  </si>
  <si>
    <t>Durante el mes de septiembre se dio apertura a las preinscripciones de este componente. Asimismo, a partir del próximo mes se iniciará la planeación de las formaciones con la Universidad EAFIT, en el marco del contrato. Esta línea de El Líder Sos Vos  La Red es una de las que se espera impactar de manera significativa. </t>
  </si>
  <si>
    <t>Durante este periodo se dio continuidad al proceso de activación de los Planes de Transformación Sostenible (PTS), mediante la solicitud a los establecimientos educativos de la primera fase de los Planes de Transformación Sostenibles 2025. También a la revisión de los PTS entregados. Esto permite acompañar, motivar y orientar con más pertinencia la formulación, construcción e implementación de sus respectivos PTS.
Además, durante el mes de septiembre se brindó acompañamiento a los establecimientos educativos mediante asesorías virtuales y presenciales. Este acompañamiento también se realizó en el marco de los Segundos Encuentros con Vos y a través de la articulación con el Programa Escuela Entorno Protector.
A partir de este seguimiento se identificó que algunos establecimientos educativos ya avanzan en la implementación de sus Planes de Transformación Sostenible, mientras que otros se encuentran en etapa de formulación. Esta situación explica que aún no se haya consolidado la totalidad de la información en la base de datos general del proyecto.</t>
  </si>
  <si>
    <t>El total de IEO asesoradas y asistidas técnicamente para el diseño y puesta en marcha de los planes de convivencia escolar durante el período correspondiente al tercer trimestre de 2025 fue de 221 (97%)</t>
  </si>
  <si>
    <t>El total de IEO asesoradas y asistidas técnicamente para el diseño y puesta en marcha de los comités escolares de convivencia durante el período correspondiente al tercer trimestre de 2025 fue de 228(100%)</t>
  </si>
  <si>
    <t>El total de IEO asesoradas y asistidas técnicamente para el diseño y puesta en marcha de los manuales de convivencia escolar durante el período correspondiente al tercer trimestre de 2025 fue de 215 (94%)</t>
  </si>
  <si>
    <t>El total de IEO asesoradas y asistidas técnicamente en los proyectos educativos transversalesdurante el período correspondiente al tercer trimestre de 2025  fue de 228 (100%)</t>
  </si>
  <si>
    <t>El total de IEO asesoradas y asistidas técnicamente para el diseño y puesta en marcha de los planes de convivencia escolar durante el período correspondiente al cuarto trimestre de 2025 fue de 224 (98%)</t>
  </si>
  <si>
    <t>El total de IEO asesoradas y asistidas técnicamente para el diseño y puesta en marcha de los comités escolares de convivencia durante el período correspondiente al cuarto trimestre de 2025 fue de 228 (100%)</t>
  </si>
  <si>
    <t>El total de IEO asesoradas y asistidas técnicamente para el diseño y puesta en marcha de los manuales de convivencia escolar durante el período correspondiente al cuarto semestre de 2025 fue de 219 (96%)</t>
  </si>
  <si>
    <t xml:space="preserve">Durante este periodo, se consolidó el cumplimiento del indicador, el cual establecía un total de 5 horas de formación, distribuidas en 4 horas formativas y 1 hora de sensibilización. Dicho cumplimiento se evidencia en las actividades desarrolladas durante este periodo, entre las cuales se destacan: 
Sensibilización: La ceremonia de posesión de los líderes estudiantiles se constituyó en un espacio de sensibilización de más de una hora, que promovió la apropiación del rol por parte de los jóvenes del Distrito. 
Formación: Se culminó el trabajo formativo desarrollado por la Universidad EAFIT, a través de los proyectos In-sight y Universidad de los Niños, en el marco del contrato. </t>
  </si>
  <si>
    <t xml:space="preserve">Se continuó con la revisión de los PTS entregados, dando cumplimiento al indicador, mediante el cual se acompañó, motivó y orientó de manera más pertinente la formulación, construcción e implementación de los respectivos PTS. Además, se identificaron subsanaciones, oportunidades de mejora y logros, y se realizaron devoluciones con el fin de motivar la continuidad del proceso para el año 2026.  
Este acompañamiento comprendió 232 PTS y 28 PTS KIDS, para un total de 260. </t>
  </si>
  <si>
    <t>Registros y Formatos PTS, administrativos SED - ELSV</t>
  </si>
  <si>
    <t xml:space="preserve">Durante el mes de diciembre se realizó el cierre de este componente el 13 de diciembre, fecha en la cual finalizó el ciclo de formación y acompañamiento dirigido a los líderes estudiantiles egresados de los establecimientos educativos, en el marco del contrato con la Universidad EAFIT. </t>
  </si>
  <si>
    <t>El total de IEO asesoradas y asistidas técnicamente en los proyectos educativos transversalesdurante el período correspondiente al cuarto trimestre de 2025  fue de 228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</si>
</sst>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44" formatCode="_-&quot;$&quot;\ * #,##0.00_-;\-&quot;$&quot;\ * #,##0.00_-;_-&quot;$&quot;\ * &quot;-&quot;??_-;_-@_-"/>
    <numFmt numFmtId="164" formatCode="_-&quot;$&quot;\ * #,##0_-;\-&quot;$&quot;\ * #,##0_-;_-&quot;$&quot;\ * &quot;-&quot;??_-;_-@_-"/>
  </numFmts>
  <fonts count="22" x14ac:knownFonts="1">
    <font>
      <sz val="11"/>
      <color theme="1"/>
      <name val="Calibri"/>
      <family val="2"/>
      <scheme val="minor"/>
    </font>
    <font>
      <sz val="10"/>
      <color rgb="FF000000"/>
      <name val="Arial"/>
      <family val="2"/>
    </font>
    <font>
      <sz val="10"/>
      <name val="Arial"/>
      <family val="2"/>
    </font>
    <font>
      <sz val="11"/>
      <color theme="1"/>
      <name val="Calibri"/>
      <family val="2"/>
      <scheme val="minor"/>
    </font>
    <font>
      <sz val="10"/>
      <color theme="0"/>
      <name val="Arial"/>
      <family val="2"/>
    </font>
    <font>
      <sz val="8"/>
      <name val="Calibri"/>
      <family val="2"/>
      <scheme val="minor"/>
    </font>
    <font>
      <sz val="10"/>
      <color theme="1"/>
      <name val="Arial"/>
      <family val="2"/>
    </font>
    <font>
      <b/>
      <sz val="10"/>
      <color rgb="FF000000"/>
      <name val="Arial"/>
      <family val="2"/>
    </font>
    <font>
      <sz val="10"/>
      <color rgb="FF000000"/>
      <name val="Arial"/>
      <family val="2"/>
    </font>
    <font>
      <b/>
      <sz val="10"/>
      <color theme="0"/>
      <name val="Arial"/>
      <family val="2"/>
    </font>
    <font>
      <b/>
      <sz val="14"/>
      <color theme="0"/>
      <name val="Arial"/>
      <family val="2"/>
    </font>
    <font>
      <sz val="11"/>
      <color theme="1"/>
      <name val="Arial"/>
      <family val="2"/>
    </font>
    <font>
      <b/>
      <sz val="10"/>
      <color theme="1"/>
      <name val="Arial"/>
      <family val="2"/>
    </font>
    <font>
      <b/>
      <sz val="14"/>
      <color rgb="FFFFFFFF"/>
      <name val="Arial"/>
      <family val="2"/>
    </font>
    <font>
      <sz val="10"/>
      <color rgb="FF000000"/>
      <name val="Calibri"/>
      <family val="2"/>
      <scheme val="minor"/>
    </font>
    <font>
      <b/>
      <sz val="10"/>
      <color rgb="FFFFFFFF"/>
      <name val="Arial"/>
      <family val="2"/>
    </font>
    <font>
      <sz val="10"/>
      <color rgb="FFFF0000"/>
      <name val="Arial"/>
      <family val="2"/>
    </font>
    <font>
      <sz val="9"/>
      <name val="Century Gothic"/>
      <family val="2"/>
    </font>
    <font>
      <sz val="11"/>
      <name val="Calibri"/>
      <family val="2"/>
    </font>
    <font>
      <sz val="11"/>
      <color theme="1"/>
      <name val="Calibri"/>
      <family val="2"/>
    </font>
    <font>
      <sz val="9"/>
      <color theme="1"/>
      <name val="Century Gothic"/>
      <family val="2"/>
    </font>
    <font>
      <sz val="11"/>
      <color theme="1"/>
      <name val="Century Gothic"/>
      <family val="2"/>
    </font>
  </fonts>
  <fills count="8">
    <fill>
      <patternFill patternType="none"/>
    </fill>
    <fill>
      <patternFill patternType="gray125"/>
    </fill>
    <fill>
      <patternFill patternType="solid">
        <fgColor theme="0"/>
        <bgColor indexed="64"/>
      </patternFill>
    </fill>
    <fill>
      <patternFill patternType="solid">
        <fgColor rgb="FF009999"/>
        <bgColor indexed="64"/>
      </patternFill>
    </fill>
    <fill>
      <patternFill patternType="solid">
        <fgColor rgb="FF215967"/>
        <bgColor indexed="64"/>
      </patternFill>
    </fill>
    <fill>
      <patternFill patternType="solid">
        <fgColor theme="8" tint="0.59999389629810485"/>
        <bgColor indexed="64"/>
      </patternFill>
    </fill>
    <fill>
      <patternFill patternType="solid">
        <fgColor rgb="FF215967"/>
        <bgColor rgb="FF000000"/>
      </patternFill>
    </fill>
    <fill>
      <patternFill patternType="solid">
        <fgColor theme="0"/>
        <bgColor theme="0"/>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7">
    <xf numFmtId="0" fontId="0" fillId="0" borderId="0"/>
    <xf numFmtId="0" fontId="3" fillId="0" borderId="0"/>
    <xf numFmtId="0" fontId="2" fillId="0" borderId="0"/>
    <xf numFmtId="0" fontId="3" fillId="0" borderId="0"/>
    <xf numFmtId="0" fontId="14" fillId="0" borderId="0"/>
    <xf numFmtId="44" fontId="3" fillId="0" borderId="0" applyFont="0" applyFill="0" applyBorder="0" applyAlignment="0" applyProtection="0"/>
    <xf numFmtId="9" fontId="3" fillId="0" borderId="0" applyFont="0" applyFill="0" applyBorder="0" applyAlignment="0" applyProtection="0"/>
  </cellStyleXfs>
  <cellXfs count="78">
    <xf numFmtId="0" fontId="0" fillId="0" borderId="0" xfId="0"/>
    <xf numFmtId="0" fontId="9" fillId="4" borderId="1" xfId="0" applyFont="1" applyFill="1" applyBorder="1" applyAlignment="1" applyProtection="1">
      <alignment horizontal="center" vertical="center" wrapText="1"/>
      <protection hidden="1"/>
    </xf>
    <xf numFmtId="0" fontId="4" fillId="2" borderId="0" xfId="0" applyFont="1" applyFill="1" applyAlignment="1" applyProtection="1">
      <alignment vertical="center" wrapText="1"/>
      <protection hidden="1"/>
    </xf>
    <xf numFmtId="0" fontId="6" fillId="0" borderId="0" xfId="0" applyFont="1" applyAlignment="1">
      <alignment vertical="center" wrapText="1"/>
    </xf>
    <xf numFmtId="0" fontId="11" fillId="0" borderId="0" xfId="0" applyFont="1"/>
    <xf numFmtId="0" fontId="11" fillId="0" borderId="0" xfId="0" applyFont="1" applyAlignment="1">
      <alignment wrapText="1"/>
    </xf>
    <xf numFmtId="0" fontId="6" fillId="0" borderId="0" xfId="0" applyFont="1" applyAlignment="1">
      <alignment wrapText="1"/>
    </xf>
    <xf numFmtId="0" fontId="6" fillId="2" borderId="0" xfId="0" applyFont="1" applyFill="1" applyAlignment="1">
      <alignment wrapText="1"/>
    </xf>
    <xf numFmtId="0" fontId="8" fillId="0" borderId="0" xfId="0" applyFont="1" applyAlignment="1">
      <alignment wrapText="1"/>
    </xf>
    <xf numFmtId="0" fontId="6" fillId="0" borderId="0" xfId="0" applyFont="1" applyAlignment="1">
      <alignment vertical="center"/>
    </xf>
    <xf numFmtId="0" fontId="12" fillId="5" borderId="1" xfId="0"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 xfId="0" applyFont="1" applyFill="1" applyBorder="1" applyAlignment="1">
      <alignment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vertical="center" wrapText="1"/>
    </xf>
    <xf numFmtId="0" fontId="1" fillId="0" borderId="1" xfId="0" applyFont="1" applyBorder="1" applyAlignment="1">
      <alignment horizontal="left" vertical="center" wrapText="1"/>
    </xf>
    <xf numFmtId="0" fontId="2" fillId="0" borderId="1" xfId="0" applyFont="1" applyBorder="1" applyAlignment="1">
      <alignment vertical="center" wrapText="1"/>
    </xf>
    <xf numFmtId="0" fontId="1" fillId="0" borderId="1" xfId="0" applyFont="1" applyBorder="1" applyAlignment="1">
      <alignment vertical="center" wrapText="1"/>
    </xf>
    <xf numFmtId="0" fontId="9" fillId="4" borderId="1" xfId="0" applyFont="1" applyFill="1" applyBorder="1" applyAlignment="1">
      <alignment horizontal="center" vertical="center" wrapText="1"/>
    </xf>
    <xf numFmtId="0" fontId="9" fillId="2" borderId="0" xfId="0" applyFont="1" applyFill="1" applyAlignment="1" applyProtection="1">
      <alignment vertical="center" wrapText="1"/>
      <protection hidden="1"/>
    </xf>
    <xf numFmtId="0" fontId="9" fillId="3" borderId="1" xfId="0" applyFont="1" applyFill="1" applyBorder="1" applyAlignment="1" applyProtection="1">
      <alignment horizontal="center" vertical="center" wrapText="1"/>
      <protection hidden="1"/>
    </xf>
    <xf numFmtId="0" fontId="1" fillId="2" borderId="2" xfId="0" applyFont="1" applyFill="1" applyBorder="1" applyAlignment="1" applyProtection="1">
      <alignment vertical="center" wrapText="1"/>
      <protection hidden="1"/>
    </xf>
    <xf numFmtId="0" fontId="1" fillId="2" borderId="3"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9" fillId="4" borderId="1" xfId="2" applyFont="1" applyFill="1" applyBorder="1" applyAlignment="1">
      <alignment horizontal="center" vertical="center" wrapText="1"/>
    </xf>
    <xf numFmtId="0" fontId="1" fillId="0" borderId="0" xfId="0" applyFont="1" applyAlignment="1">
      <alignment wrapText="1"/>
    </xf>
    <xf numFmtId="9" fontId="6" fillId="0" borderId="0" xfId="6" applyFont="1" applyAlignment="1">
      <alignment wrapText="1"/>
    </xf>
    <xf numFmtId="0" fontId="16" fillId="0" borderId="1" xfId="0" applyFont="1" applyBorder="1" applyAlignment="1">
      <alignment vertical="center" wrapText="1"/>
    </xf>
    <xf numFmtId="0" fontId="16" fillId="0" borderId="0" xfId="0" applyFont="1" applyAlignment="1">
      <alignment wrapText="1"/>
    </xf>
    <xf numFmtId="0" fontId="2" fillId="0" borderId="1" xfId="0" applyFont="1" applyBorder="1" applyAlignment="1">
      <alignment horizontal="center" vertical="center" wrapText="1"/>
    </xf>
    <xf numFmtId="0" fontId="17" fillId="0" borderId="12" xfId="0" applyFont="1" applyBorder="1" applyAlignment="1">
      <alignment horizontal="center" vertical="center" wrapText="1"/>
    </xf>
    <xf numFmtId="14" fontId="2" fillId="0" borderId="1" xfId="0" applyNumberFormat="1" applyFont="1" applyBorder="1" applyAlignment="1">
      <alignment horizontal="center" vertical="center" wrapText="1"/>
    </xf>
    <xf numFmtId="9" fontId="18" fillId="0" borderId="1" xfId="0" applyNumberFormat="1" applyFont="1" applyBorder="1" applyAlignment="1">
      <alignment horizontal="center" vertical="center" wrapText="1"/>
    </xf>
    <xf numFmtId="9" fontId="2" fillId="0" borderId="1" xfId="6" applyFont="1" applyBorder="1" applyAlignment="1">
      <alignment horizontal="center" vertical="center" wrapText="1"/>
    </xf>
    <xf numFmtId="9" fontId="2" fillId="0" borderId="1" xfId="0" applyNumberFormat="1" applyFont="1" applyBorder="1" applyAlignment="1">
      <alignment horizontal="center" vertical="center" wrapText="1"/>
    </xf>
    <xf numFmtId="164" fontId="2" fillId="0" borderId="1" xfId="5" applyNumberFormat="1" applyFont="1" applyBorder="1" applyAlignment="1">
      <alignment vertical="center" wrapText="1"/>
    </xf>
    <xf numFmtId="0" fontId="2" fillId="0" borderId="0" xfId="0" applyFont="1" applyAlignment="1">
      <alignment wrapText="1"/>
    </xf>
    <xf numFmtId="14" fontId="2" fillId="0" borderId="1" xfId="0" applyNumberFormat="1" applyFont="1" applyBorder="1" applyAlignment="1">
      <alignment vertical="center" wrapText="1"/>
    </xf>
    <xf numFmtId="6" fontId="2" fillId="0" borderId="1" xfId="0" applyNumberFormat="1" applyFont="1" applyBorder="1" applyAlignment="1">
      <alignment vertical="center" wrapText="1"/>
    </xf>
    <xf numFmtId="0" fontId="18" fillId="2" borderId="12" xfId="0" applyFont="1" applyFill="1" applyBorder="1" applyAlignment="1">
      <alignment horizontal="center" vertical="center" wrapText="1"/>
    </xf>
    <xf numFmtId="3" fontId="18"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20" fillId="0" borderId="12" xfId="0" applyFont="1" applyBorder="1" applyAlignment="1">
      <alignment horizontal="center" vertical="center" wrapText="1"/>
    </xf>
    <xf numFmtId="14" fontId="6" fillId="0" borderId="1" xfId="0" applyNumberFormat="1" applyFont="1" applyBorder="1" applyAlignment="1">
      <alignment horizontal="center" vertical="center" wrapText="1"/>
    </xf>
    <xf numFmtId="9" fontId="19" fillId="0" borderId="1" xfId="0" applyNumberFormat="1" applyFont="1" applyBorder="1" applyAlignment="1">
      <alignment horizontal="center" vertical="center" wrapText="1"/>
    </xf>
    <xf numFmtId="9" fontId="6" fillId="0" borderId="1" xfId="6" applyFont="1" applyBorder="1" applyAlignment="1">
      <alignment horizontal="center" vertical="center" wrapText="1"/>
    </xf>
    <xf numFmtId="9" fontId="6" fillId="0" borderId="1" xfId="0" applyNumberFormat="1" applyFont="1" applyBorder="1" applyAlignment="1">
      <alignment horizontal="center" vertical="center" wrapText="1"/>
    </xf>
    <xf numFmtId="0" fontId="21" fillId="0" borderId="12" xfId="0" applyFont="1" applyBorder="1" applyAlignment="1" applyProtection="1">
      <alignment horizontal="left" vertical="center" wrapText="1"/>
      <protection locked="0"/>
    </xf>
    <xf numFmtId="164" fontId="6" fillId="0" borderId="1" xfId="5" applyNumberFormat="1" applyFont="1" applyBorder="1" applyAlignment="1">
      <alignment vertical="center" wrapText="1"/>
    </xf>
    <xf numFmtId="14" fontId="6" fillId="0" borderId="1" xfId="0" applyNumberFormat="1" applyFont="1" applyBorder="1" applyAlignment="1">
      <alignment vertical="center" wrapText="1"/>
    </xf>
    <xf numFmtId="3" fontId="19" fillId="7" borderId="12"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6" fontId="6" fillId="0" borderId="1" xfId="0" applyNumberFormat="1" applyFont="1" applyBorder="1" applyAlignment="1">
      <alignment vertical="center" wrapText="1"/>
    </xf>
    <xf numFmtId="0" fontId="19" fillId="2" borderId="13" xfId="0" applyFont="1" applyFill="1" applyBorder="1" applyAlignment="1">
      <alignment horizontal="center" vertical="center" wrapText="1"/>
    </xf>
    <xf numFmtId="0" fontId="10" fillId="4" borderId="11" xfId="0" applyFont="1" applyFill="1" applyBorder="1" applyAlignment="1">
      <alignment horizontal="center" wrapText="1"/>
    </xf>
    <xf numFmtId="0" fontId="10" fillId="3" borderId="5"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7" fillId="5" borderId="2" xfId="0" applyFont="1" applyFill="1" applyBorder="1" applyAlignment="1">
      <alignment horizontal="center" vertical="center"/>
    </xf>
    <xf numFmtId="0" fontId="7" fillId="5" borderId="9" xfId="0" applyFont="1" applyFill="1" applyBorder="1" applyAlignment="1">
      <alignment horizontal="center" vertical="center"/>
    </xf>
    <xf numFmtId="0" fontId="1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4" borderId="1" xfId="0" applyFont="1" applyFill="1" applyBorder="1" applyAlignment="1" applyProtection="1">
      <alignment horizontal="center" vertical="center" wrapText="1"/>
      <protection hidden="1"/>
    </xf>
    <xf numFmtId="0" fontId="9" fillId="2" borderId="4" xfId="0" applyFont="1" applyFill="1" applyBorder="1" applyAlignment="1" applyProtection="1">
      <alignment horizontal="center" vertical="center" wrapText="1"/>
      <protection hidden="1"/>
    </xf>
    <xf numFmtId="0" fontId="9" fillId="2" borderId="7" xfId="0" applyFont="1" applyFill="1" applyBorder="1" applyAlignment="1" applyProtection="1">
      <alignment horizontal="center" vertical="center" wrapText="1"/>
      <protection hidden="1"/>
    </xf>
    <xf numFmtId="0" fontId="9" fillId="2" borderId="3" xfId="0" applyFont="1" applyFill="1" applyBorder="1" applyAlignment="1" applyProtection="1">
      <alignment horizontal="center" vertical="center" wrapText="1"/>
      <protection hidden="1"/>
    </xf>
    <xf numFmtId="0" fontId="9" fillId="2" borderId="1" xfId="0" applyFont="1" applyFill="1" applyBorder="1" applyAlignment="1" applyProtection="1">
      <alignment horizontal="center" vertical="center" wrapText="1"/>
      <protection hidden="1"/>
    </xf>
    <xf numFmtId="0" fontId="9" fillId="2" borderId="10" xfId="0" applyFont="1" applyFill="1" applyBorder="1" applyAlignment="1" applyProtection="1">
      <alignment horizontal="center" vertical="center" wrapText="1"/>
      <protection hidden="1"/>
    </xf>
    <xf numFmtId="0" fontId="9" fillId="2" borderId="6" xfId="0" applyFont="1" applyFill="1" applyBorder="1" applyAlignment="1" applyProtection="1">
      <alignment horizontal="center" vertical="center" wrapText="1"/>
      <protection hidden="1"/>
    </xf>
    <xf numFmtId="0" fontId="9" fillId="4" borderId="1" xfId="2" applyFont="1" applyFill="1" applyBorder="1" applyAlignment="1">
      <alignment horizontal="center" vertical="center" wrapText="1"/>
    </xf>
    <xf numFmtId="0" fontId="9" fillId="3" borderId="1" xfId="0" applyFont="1" applyFill="1" applyBorder="1" applyAlignment="1" applyProtection="1">
      <alignment horizontal="center" vertical="center" wrapText="1"/>
      <protection hidden="1"/>
    </xf>
    <xf numFmtId="0" fontId="9" fillId="4" borderId="1" xfId="0" applyFont="1" applyFill="1" applyBorder="1" applyAlignment="1">
      <alignment horizontal="center" vertical="center" wrapText="1"/>
    </xf>
    <xf numFmtId="0" fontId="6" fillId="0" borderId="8" xfId="0" applyFont="1" applyBorder="1" applyAlignment="1">
      <alignment horizontal="center" wrapText="1"/>
    </xf>
    <xf numFmtId="0" fontId="15" fillId="6" borderId="2" xfId="0" applyFont="1" applyFill="1" applyBorder="1" applyAlignment="1" applyProtection="1">
      <alignment horizontal="center" vertical="center" wrapText="1"/>
      <protection hidden="1"/>
    </xf>
    <xf numFmtId="0" fontId="15" fillId="6" borderId="9" xfId="0" applyFont="1" applyFill="1" applyBorder="1" applyAlignment="1" applyProtection="1">
      <alignment horizontal="center" vertical="center" wrapText="1"/>
      <protection hidden="1"/>
    </xf>
    <xf numFmtId="0" fontId="15" fillId="6" borderId="3" xfId="0" applyFont="1" applyFill="1" applyBorder="1" applyAlignment="1" applyProtection="1">
      <alignment horizontal="center" vertical="center" wrapText="1"/>
      <protection hidden="1"/>
    </xf>
  </cellXfs>
  <cellStyles count="7">
    <cellStyle name="Moneda" xfId="5" builtinId="4"/>
    <cellStyle name="Normal" xfId="0" builtinId="0"/>
    <cellStyle name="Normal 18" xfId="3" xr:uid="{00000000-0005-0000-0000-000002000000}"/>
    <cellStyle name="Normal 2" xfId="1" xr:uid="{00000000-0005-0000-0000-000003000000}"/>
    <cellStyle name="Normal 3" xfId="2" xr:uid="{00000000-0005-0000-0000-000004000000}"/>
    <cellStyle name="Normal 6" xfId="4" xr:uid="{00000000-0005-0000-0000-000005000000}"/>
    <cellStyle name="Porcentaje" xfId="6" builtinId="5"/>
  </cellStyles>
  <dxfs count="0"/>
  <tableStyles count="0" defaultTableStyle="TableStyleMedium2" defaultPivotStyle="PivotStyleLight16"/>
  <colors>
    <mruColors>
      <color rgb="FF215967"/>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9163050</xdr:colOff>
      <xdr:row>0</xdr:row>
      <xdr:rowOff>85725</xdr:rowOff>
    </xdr:from>
    <xdr:to>
      <xdr:col>2</xdr:col>
      <xdr:colOff>10639425</xdr:colOff>
      <xdr:row>0</xdr:row>
      <xdr:rowOff>1057275</xdr:rowOff>
    </xdr:to>
    <xdr:pic>
      <xdr:nvPicPr>
        <xdr:cNvPr id="4" name="Imagen 1">
          <a:extLst>
            <a:ext uri="{FF2B5EF4-FFF2-40B4-BE49-F238E27FC236}">
              <a16:creationId xmlns:a16="http://schemas.microsoft.com/office/drawing/2014/main" id="{1A688C06-D9DB-6D0F-F73F-1D56B833F4DB}"/>
            </a:ext>
          </a:extLst>
        </xdr:cNvPr>
        <xdr:cNvPicPr>
          <a:picLocks noChangeAspect="1"/>
        </xdr:cNvPicPr>
      </xdr:nvPicPr>
      <xdr:blipFill>
        <a:blip xmlns:r="http://schemas.openxmlformats.org/officeDocument/2006/relationships" r:embed="rId1"/>
        <a:stretch>
          <a:fillRect/>
        </a:stretch>
      </xdr:blipFill>
      <xdr:spPr>
        <a:xfrm>
          <a:off x="12125325" y="85725"/>
          <a:ext cx="1476375" cy="971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47</xdr:col>
      <xdr:colOff>266700</xdr:colOff>
      <xdr:row>0</xdr:row>
      <xdr:rowOff>76200</xdr:rowOff>
    </xdr:from>
    <xdr:to>
      <xdr:col>48</xdr:col>
      <xdr:colOff>914399</xdr:colOff>
      <xdr:row>0</xdr:row>
      <xdr:rowOff>1314450</xdr:rowOff>
    </xdr:to>
    <xdr:pic>
      <xdr:nvPicPr>
        <xdr:cNvPr id="2" name="Imagen 1">
          <a:extLst>
            <a:ext uri="{FF2B5EF4-FFF2-40B4-BE49-F238E27FC236}">
              <a16:creationId xmlns:a16="http://schemas.microsoft.com/office/drawing/2014/main" id="{EB22A43E-7D7A-4F7E-9CDA-28A50002D48B}"/>
            </a:ext>
          </a:extLst>
        </xdr:cNvPr>
        <xdr:cNvPicPr>
          <a:picLocks noChangeAspect="1"/>
        </xdr:cNvPicPr>
      </xdr:nvPicPr>
      <xdr:blipFill>
        <a:blip xmlns:r="http://schemas.openxmlformats.org/officeDocument/2006/relationships" r:embed="rId1"/>
        <a:stretch>
          <a:fillRect/>
        </a:stretch>
      </xdr:blipFill>
      <xdr:spPr>
        <a:xfrm>
          <a:off x="102422325" y="76200"/>
          <a:ext cx="1857375" cy="1238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54</xdr:col>
      <xdr:colOff>266700</xdr:colOff>
      <xdr:row>0</xdr:row>
      <xdr:rowOff>76200</xdr:rowOff>
    </xdr:from>
    <xdr:to>
      <xdr:col>55</xdr:col>
      <xdr:colOff>1200152</xdr:colOff>
      <xdr:row>0</xdr:row>
      <xdr:rowOff>1314450</xdr:rowOff>
    </xdr:to>
    <xdr:pic>
      <xdr:nvPicPr>
        <xdr:cNvPr id="2" name="Imagen 1">
          <a:extLst>
            <a:ext uri="{FF2B5EF4-FFF2-40B4-BE49-F238E27FC236}">
              <a16:creationId xmlns:a16="http://schemas.microsoft.com/office/drawing/2014/main" id="{B7B42A0A-626A-4233-A0DB-D8DB37807041}"/>
            </a:ext>
          </a:extLst>
        </xdr:cNvPr>
        <xdr:cNvPicPr>
          <a:picLocks noChangeAspect="1"/>
        </xdr:cNvPicPr>
      </xdr:nvPicPr>
      <xdr:blipFill>
        <a:blip xmlns:r="http://schemas.openxmlformats.org/officeDocument/2006/relationships" r:embed="rId1"/>
        <a:stretch>
          <a:fillRect/>
        </a:stretch>
      </xdr:blipFill>
      <xdr:spPr>
        <a:xfrm>
          <a:off x="65608200" y="76200"/>
          <a:ext cx="1857375" cy="12382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osep/Downloads/20220124_indicadores_fps_enero_diciemb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DORES GESTION"/>
      <sheetName val="Grafica"/>
      <sheetName val="Listas desplegables"/>
    </sheetNames>
    <sheetDataSet>
      <sheetData sheetId="0" refreshError="1"/>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9"/>
  <sheetViews>
    <sheetView topLeftCell="A35" workbookViewId="0">
      <selection activeCell="C43" sqref="C43"/>
    </sheetView>
  </sheetViews>
  <sheetFormatPr baseColWidth="10" defaultColWidth="11.453125" defaultRowHeight="14" x14ac:dyDescent="0.3"/>
  <cols>
    <col min="1" max="1" width="3.26953125" style="4" bestFit="1" customWidth="1"/>
    <col min="2" max="2" width="41.1796875" style="4" customWidth="1"/>
    <col min="3" max="3" width="160.26953125" style="4" customWidth="1"/>
    <col min="4" max="4" width="11.453125" style="4"/>
    <col min="5" max="5" width="13.1796875" style="4" customWidth="1"/>
    <col min="6" max="6" width="47.26953125" style="4" customWidth="1"/>
    <col min="7" max="7" width="113" style="4" customWidth="1"/>
    <col min="8" max="16384" width="11.453125" style="4"/>
  </cols>
  <sheetData>
    <row r="1" spans="1:3" ht="92.25" customHeight="1" x14ac:dyDescent="0.3">
      <c r="A1" s="58" t="s">
        <v>0</v>
      </c>
      <c r="B1" s="58"/>
      <c r="C1" s="58"/>
    </row>
    <row r="2" spans="1:3" ht="28.5" customHeight="1" x14ac:dyDescent="0.3">
      <c r="A2" s="59" t="s">
        <v>1</v>
      </c>
      <c r="B2" s="59"/>
      <c r="C2" s="59"/>
    </row>
    <row r="3" spans="1:3" ht="62.25" customHeight="1" x14ac:dyDescent="0.3">
      <c r="A3" s="60" t="s">
        <v>2</v>
      </c>
      <c r="B3" s="61"/>
      <c r="C3" s="11" t="s">
        <v>3</v>
      </c>
    </row>
    <row r="4" spans="1:3" ht="38.25" customHeight="1" x14ac:dyDescent="0.3">
      <c r="A4" s="60" t="s">
        <v>4</v>
      </c>
      <c r="B4" s="61"/>
      <c r="C4" s="11" t="s">
        <v>5</v>
      </c>
    </row>
    <row r="5" spans="1:3" ht="101.25" customHeight="1" x14ac:dyDescent="0.3">
      <c r="A5" s="60" t="s">
        <v>6</v>
      </c>
      <c r="B5" s="61"/>
      <c r="C5" s="11" t="s">
        <v>7</v>
      </c>
    </row>
    <row r="6" spans="1:3" ht="48" customHeight="1" x14ac:dyDescent="0.3">
      <c r="A6" s="60" t="s">
        <v>8</v>
      </c>
      <c r="B6" s="61"/>
      <c r="C6" s="12" t="s">
        <v>9</v>
      </c>
    </row>
    <row r="7" spans="1:3" ht="69" customHeight="1" x14ac:dyDescent="0.3">
      <c r="A7" s="60" t="s">
        <v>10</v>
      </c>
      <c r="B7" s="61"/>
      <c r="C7" s="12" t="s">
        <v>11</v>
      </c>
    </row>
    <row r="8" spans="1:3" ht="60.75" customHeight="1" x14ac:dyDescent="0.3">
      <c r="A8" s="60" t="s">
        <v>12</v>
      </c>
      <c r="B8" s="61"/>
      <c r="C8" s="12" t="s">
        <v>13</v>
      </c>
    </row>
    <row r="9" spans="1:3" ht="18" x14ac:dyDescent="0.4">
      <c r="A9" s="57" t="s">
        <v>14</v>
      </c>
      <c r="B9" s="57"/>
      <c r="C9" s="57"/>
    </row>
    <row r="10" spans="1:3" x14ac:dyDescent="0.3">
      <c r="A10" s="10" t="s">
        <v>15</v>
      </c>
      <c r="B10" s="13" t="s">
        <v>16</v>
      </c>
      <c r="C10" s="13" t="s">
        <v>2</v>
      </c>
    </row>
    <row r="11" spans="1:3" x14ac:dyDescent="0.3">
      <c r="A11" s="10">
        <v>1</v>
      </c>
      <c r="B11" s="14" t="s">
        <v>17</v>
      </c>
      <c r="C11" s="15" t="s">
        <v>18</v>
      </c>
    </row>
    <row r="12" spans="1:3" ht="36" customHeight="1" x14ac:dyDescent="0.3">
      <c r="A12" s="10">
        <v>2</v>
      </c>
      <c r="B12" s="14" t="s">
        <v>19</v>
      </c>
      <c r="C12" s="15" t="s">
        <v>20</v>
      </c>
    </row>
    <row r="13" spans="1:3" s="5" customFormat="1" x14ac:dyDescent="0.3">
      <c r="A13" s="10">
        <v>3</v>
      </c>
      <c r="B13" s="14" t="s">
        <v>21</v>
      </c>
      <c r="C13" s="15" t="s">
        <v>22</v>
      </c>
    </row>
    <row r="14" spans="1:3" s="5" customFormat="1" ht="19.5" customHeight="1" x14ac:dyDescent="0.3">
      <c r="A14" s="10">
        <v>4</v>
      </c>
      <c r="B14" s="14" t="s">
        <v>23</v>
      </c>
      <c r="C14" s="15" t="s">
        <v>24</v>
      </c>
    </row>
    <row r="15" spans="1:3" s="5" customFormat="1" ht="19.5" customHeight="1" x14ac:dyDescent="0.3">
      <c r="A15" s="10">
        <v>5</v>
      </c>
      <c r="B15" s="14" t="s">
        <v>25</v>
      </c>
      <c r="C15" s="16" t="s">
        <v>26</v>
      </c>
    </row>
    <row r="16" spans="1:3" s="5" customFormat="1" ht="19.5" customHeight="1" x14ac:dyDescent="0.3">
      <c r="A16" s="10">
        <v>6</v>
      </c>
      <c r="B16" s="14" t="s">
        <v>27</v>
      </c>
      <c r="C16" s="16" t="s">
        <v>28</v>
      </c>
    </row>
    <row r="17" spans="1:3" s="5" customFormat="1" ht="19.5" customHeight="1" x14ac:dyDescent="0.3">
      <c r="A17" s="10">
        <v>7</v>
      </c>
      <c r="B17" s="14" t="s">
        <v>29</v>
      </c>
      <c r="C17" s="16" t="s">
        <v>30</v>
      </c>
    </row>
    <row r="18" spans="1:3" s="5" customFormat="1" x14ac:dyDescent="0.3">
      <c r="A18" s="10">
        <v>8</v>
      </c>
      <c r="B18" s="14" t="s">
        <v>31</v>
      </c>
      <c r="C18" s="16" t="s">
        <v>32</v>
      </c>
    </row>
    <row r="19" spans="1:3" s="5" customFormat="1" ht="57.75" customHeight="1" x14ac:dyDescent="0.3">
      <c r="A19" s="10">
        <v>9</v>
      </c>
      <c r="B19" s="14" t="s">
        <v>33</v>
      </c>
      <c r="C19" s="16" t="s">
        <v>34</v>
      </c>
    </row>
    <row r="20" spans="1:3" s="5" customFormat="1" ht="37.5" customHeight="1" x14ac:dyDescent="0.3">
      <c r="A20" s="10">
        <v>10</v>
      </c>
      <c r="B20" s="14" t="s">
        <v>35</v>
      </c>
      <c r="C20" s="16" t="s">
        <v>36</v>
      </c>
    </row>
    <row r="21" spans="1:3" s="5" customFormat="1" ht="37.5" customHeight="1" x14ac:dyDescent="0.3">
      <c r="A21" s="10">
        <v>11</v>
      </c>
      <c r="B21" s="14" t="s">
        <v>37</v>
      </c>
      <c r="C21" s="16" t="s">
        <v>38</v>
      </c>
    </row>
    <row r="22" spans="1:3" s="5" customFormat="1" ht="37.5" customHeight="1" x14ac:dyDescent="0.3">
      <c r="A22" s="10">
        <v>12</v>
      </c>
      <c r="B22" s="14" t="s">
        <v>39</v>
      </c>
      <c r="C22" s="16" t="s">
        <v>40</v>
      </c>
    </row>
    <row r="23" spans="1:3" s="5" customFormat="1" ht="37.5" customHeight="1" x14ac:dyDescent="0.3">
      <c r="A23" s="10">
        <v>13</v>
      </c>
      <c r="B23" s="14" t="s">
        <v>41</v>
      </c>
      <c r="C23" s="16" t="s">
        <v>42</v>
      </c>
    </row>
    <row r="24" spans="1:3" s="5" customFormat="1" ht="37.5" customHeight="1" x14ac:dyDescent="0.3">
      <c r="A24" s="10">
        <v>14</v>
      </c>
      <c r="B24" s="14" t="s">
        <v>43</v>
      </c>
      <c r="C24" s="16" t="s">
        <v>44</v>
      </c>
    </row>
    <row r="25" spans="1:3" s="5" customFormat="1" ht="37.5" customHeight="1" x14ac:dyDescent="0.3">
      <c r="A25" s="10">
        <v>15</v>
      </c>
      <c r="B25" s="14" t="s">
        <v>45</v>
      </c>
      <c r="C25" s="16" t="s">
        <v>46</v>
      </c>
    </row>
    <row r="26" spans="1:3" s="5" customFormat="1" ht="37.5" customHeight="1" x14ac:dyDescent="0.3">
      <c r="A26" s="10">
        <v>16</v>
      </c>
      <c r="B26" s="14" t="s">
        <v>47</v>
      </c>
      <c r="C26" s="16" t="s">
        <v>48</v>
      </c>
    </row>
    <row r="27" spans="1:3" s="5" customFormat="1" ht="37.5" customHeight="1" x14ac:dyDescent="0.3">
      <c r="A27" s="10">
        <v>17</v>
      </c>
      <c r="B27" s="14" t="s">
        <v>49</v>
      </c>
      <c r="C27" s="16" t="s">
        <v>50</v>
      </c>
    </row>
    <row r="28" spans="1:3" s="5" customFormat="1" ht="37.5" customHeight="1" x14ac:dyDescent="0.3">
      <c r="A28" s="10">
        <v>18</v>
      </c>
      <c r="B28" s="14" t="s">
        <v>51</v>
      </c>
      <c r="C28" s="16" t="s">
        <v>52</v>
      </c>
    </row>
    <row r="29" spans="1:3" s="5" customFormat="1" ht="37.5" customHeight="1" x14ac:dyDescent="0.3">
      <c r="A29" s="10">
        <v>19</v>
      </c>
      <c r="B29" s="14" t="s">
        <v>53</v>
      </c>
      <c r="C29" s="16" t="s">
        <v>54</v>
      </c>
    </row>
    <row r="30" spans="1:3" s="5" customFormat="1" ht="37.5" customHeight="1" x14ac:dyDescent="0.3">
      <c r="A30" s="10">
        <v>20</v>
      </c>
      <c r="B30" s="14" t="s">
        <v>55</v>
      </c>
      <c r="C30" s="17" t="s">
        <v>56</v>
      </c>
    </row>
    <row r="31" spans="1:3" s="5" customFormat="1" ht="37.5" customHeight="1" x14ac:dyDescent="0.3">
      <c r="A31" s="10">
        <v>21</v>
      </c>
      <c r="B31" s="14" t="s">
        <v>57</v>
      </c>
      <c r="C31" s="16" t="s">
        <v>58</v>
      </c>
    </row>
    <row r="32" spans="1:3" s="5" customFormat="1" ht="37.5" customHeight="1" x14ac:dyDescent="0.3">
      <c r="A32" s="10">
        <v>22</v>
      </c>
      <c r="B32" s="14" t="s">
        <v>59</v>
      </c>
      <c r="C32" s="17" t="s">
        <v>60</v>
      </c>
    </row>
    <row r="33" spans="1:3" s="5" customFormat="1" ht="37.5" customHeight="1" x14ac:dyDescent="0.3">
      <c r="A33" s="10">
        <v>23</v>
      </c>
      <c r="B33" s="14" t="s">
        <v>61</v>
      </c>
      <c r="C33" s="16" t="s">
        <v>62</v>
      </c>
    </row>
    <row r="34" spans="1:3" s="5" customFormat="1" ht="66.75" customHeight="1" x14ac:dyDescent="0.3">
      <c r="A34" s="10">
        <v>24</v>
      </c>
      <c r="B34" s="14" t="s">
        <v>63</v>
      </c>
      <c r="C34" s="16" t="s">
        <v>64</v>
      </c>
    </row>
    <row r="35" spans="1:3" s="5" customFormat="1" ht="60" customHeight="1" x14ac:dyDescent="0.3">
      <c r="A35" s="10">
        <v>25</v>
      </c>
      <c r="B35" s="14" t="s">
        <v>65</v>
      </c>
      <c r="C35" s="16" t="s">
        <v>66</v>
      </c>
    </row>
    <row r="36" spans="1:3" s="5" customFormat="1" ht="55.5" customHeight="1" x14ac:dyDescent="0.3">
      <c r="A36" s="10">
        <v>26</v>
      </c>
      <c r="B36" s="14" t="s">
        <v>67</v>
      </c>
      <c r="C36" s="16" t="s">
        <v>68</v>
      </c>
    </row>
    <row r="37" spans="1:3" s="5" customFormat="1" ht="37.5" customHeight="1" x14ac:dyDescent="0.3">
      <c r="A37" s="10">
        <v>27</v>
      </c>
      <c r="B37" s="14" t="s">
        <v>69</v>
      </c>
      <c r="C37" s="16" t="s">
        <v>70</v>
      </c>
    </row>
    <row r="38" spans="1:3" s="5" customFormat="1" ht="37.5" customHeight="1" x14ac:dyDescent="0.3">
      <c r="A38" s="10">
        <v>28</v>
      </c>
      <c r="B38" s="14" t="s">
        <v>71</v>
      </c>
      <c r="C38" s="16" t="s">
        <v>72</v>
      </c>
    </row>
    <row r="39" spans="1:3" s="5" customFormat="1" ht="37.5" customHeight="1" x14ac:dyDescent="0.3">
      <c r="A39" s="10">
        <v>29</v>
      </c>
      <c r="B39" s="14" t="s">
        <v>73</v>
      </c>
      <c r="C39" s="16" t="s">
        <v>74</v>
      </c>
    </row>
    <row r="40" spans="1:3" s="5" customFormat="1" ht="48.75" customHeight="1" x14ac:dyDescent="0.3">
      <c r="A40" s="10">
        <v>30</v>
      </c>
      <c r="B40" s="14" t="s">
        <v>75</v>
      </c>
      <c r="C40" s="16" t="s">
        <v>76</v>
      </c>
    </row>
    <row r="41" spans="1:3" s="5" customFormat="1" ht="37.5" customHeight="1" x14ac:dyDescent="0.3">
      <c r="A41" s="10">
        <v>31</v>
      </c>
      <c r="B41" s="14" t="s">
        <v>77</v>
      </c>
      <c r="C41" s="16" t="s">
        <v>78</v>
      </c>
    </row>
    <row r="42" spans="1:3" s="5" customFormat="1" ht="37.5" customHeight="1" x14ac:dyDescent="0.3">
      <c r="A42" s="10">
        <v>32</v>
      </c>
      <c r="B42" s="14" t="s">
        <v>79</v>
      </c>
      <c r="C42" s="16" t="s">
        <v>80</v>
      </c>
    </row>
    <row r="43" spans="1:3" s="5" customFormat="1" ht="37.5" customHeight="1" x14ac:dyDescent="0.3">
      <c r="A43" s="10">
        <v>33</v>
      </c>
      <c r="B43" s="14" t="s">
        <v>81</v>
      </c>
      <c r="C43" s="17" t="s">
        <v>82</v>
      </c>
    </row>
    <row r="44" spans="1:3" s="5" customFormat="1" ht="37.5" customHeight="1" x14ac:dyDescent="0.3">
      <c r="A44" s="10">
        <v>34</v>
      </c>
      <c r="B44" s="14" t="s">
        <v>83</v>
      </c>
      <c r="C44" s="17" t="s">
        <v>84</v>
      </c>
    </row>
    <row r="45" spans="1:3" s="5" customFormat="1" ht="37.5" customHeight="1" x14ac:dyDescent="0.3">
      <c r="A45" s="10">
        <v>35</v>
      </c>
      <c r="B45" s="14" t="s">
        <v>85</v>
      </c>
      <c r="C45" s="16" t="s">
        <v>86</v>
      </c>
    </row>
    <row r="46" spans="1:3" s="5" customFormat="1" ht="37.5" customHeight="1" x14ac:dyDescent="0.3">
      <c r="A46" s="10">
        <v>36</v>
      </c>
      <c r="B46" s="14" t="s">
        <v>87</v>
      </c>
      <c r="C46" s="17" t="s">
        <v>88</v>
      </c>
    </row>
    <row r="47" spans="1:3" s="5" customFormat="1" ht="118.5" customHeight="1" x14ac:dyDescent="0.3">
      <c r="A47" s="10">
        <v>37</v>
      </c>
      <c r="B47" s="14" t="s">
        <v>89</v>
      </c>
      <c r="C47" s="16" t="s">
        <v>90</v>
      </c>
    </row>
    <row r="48" spans="1:3" s="5" customFormat="1" ht="27.75" customHeight="1" x14ac:dyDescent="0.3">
      <c r="A48" s="10">
        <v>38</v>
      </c>
      <c r="B48" s="14" t="s">
        <v>91</v>
      </c>
      <c r="C48" s="16" t="s">
        <v>92</v>
      </c>
    </row>
    <row r="49" spans="1:3" s="5" customFormat="1" ht="54.75" customHeight="1" x14ac:dyDescent="0.3">
      <c r="A49" s="10">
        <v>39</v>
      </c>
      <c r="B49" s="14" t="s">
        <v>93</v>
      </c>
      <c r="C49" s="16" t="s">
        <v>94</v>
      </c>
    </row>
    <row r="50" spans="1:3" s="5" customFormat="1" ht="54.75" customHeight="1" x14ac:dyDescent="0.3">
      <c r="A50" s="10">
        <v>40</v>
      </c>
      <c r="B50" s="14" t="s">
        <v>95</v>
      </c>
      <c r="C50" s="16" t="s">
        <v>96</v>
      </c>
    </row>
    <row r="51" spans="1:3" ht="30" customHeight="1" x14ac:dyDescent="0.3">
      <c r="A51" s="10">
        <v>41</v>
      </c>
      <c r="B51" s="14" t="s">
        <v>97</v>
      </c>
      <c r="C51" s="16" t="s">
        <v>98</v>
      </c>
    </row>
    <row r="52" spans="1:3" ht="30.75" customHeight="1" x14ac:dyDescent="0.3">
      <c r="A52" s="10">
        <v>42</v>
      </c>
      <c r="B52" s="14" t="s">
        <v>99</v>
      </c>
      <c r="C52" s="16" t="s">
        <v>100</v>
      </c>
    </row>
    <row r="53" spans="1:3" ht="37.5" customHeight="1" x14ac:dyDescent="0.3">
      <c r="A53" s="10">
        <v>43</v>
      </c>
      <c r="B53" s="14" t="s">
        <v>101</v>
      </c>
      <c r="C53" s="16" t="s">
        <v>102</v>
      </c>
    </row>
    <row r="54" spans="1:3" ht="37.5" customHeight="1" x14ac:dyDescent="0.3">
      <c r="A54" s="10">
        <v>44</v>
      </c>
      <c r="B54" s="14" t="s">
        <v>103</v>
      </c>
      <c r="C54" s="16" t="s">
        <v>104</v>
      </c>
    </row>
    <row r="55" spans="1:3" ht="58.5" customHeight="1" x14ac:dyDescent="0.3">
      <c r="A55" s="10">
        <v>45</v>
      </c>
      <c r="B55" s="14" t="s">
        <v>105</v>
      </c>
      <c r="C55" s="16" t="s">
        <v>106</v>
      </c>
    </row>
    <row r="56" spans="1:3" ht="37.5" customHeight="1" x14ac:dyDescent="0.3">
      <c r="A56" s="10">
        <v>46</v>
      </c>
      <c r="B56" s="14" t="s">
        <v>107</v>
      </c>
      <c r="C56" s="16" t="s">
        <v>108</v>
      </c>
    </row>
    <row r="57" spans="1:3" ht="37.5" customHeight="1" x14ac:dyDescent="0.3">
      <c r="A57" s="10">
        <v>47</v>
      </c>
      <c r="B57" s="14" t="s">
        <v>109</v>
      </c>
      <c r="C57" s="16" t="s">
        <v>110</v>
      </c>
    </row>
    <row r="58" spans="1:3" ht="37.5" customHeight="1" x14ac:dyDescent="0.3">
      <c r="A58" s="10"/>
      <c r="B58" s="14" t="s">
        <v>111</v>
      </c>
      <c r="C58" s="16" t="s">
        <v>112</v>
      </c>
    </row>
    <row r="59" spans="1:3" ht="37.5" customHeight="1" x14ac:dyDescent="0.3">
      <c r="A59" s="10">
        <v>48</v>
      </c>
      <c r="B59" s="14" t="s">
        <v>113</v>
      </c>
      <c r="C59" s="16" t="s">
        <v>114</v>
      </c>
    </row>
    <row r="60" spans="1:3" ht="37.5" customHeight="1" x14ac:dyDescent="0.3">
      <c r="A60" s="10">
        <v>49</v>
      </c>
      <c r="B60" s="14" t="s">
        <v>115</v>
      </c>
      <c r="C60" s="16" t="s">
        <v>116</v>
      </c>
    </row>
    <row r="61" spans="1:3" ht="37.5" customHeight="1" x14ac:dyDescent="0.3">
      <c r="A61" s="10">
        <v>50</v>
      </c>
      <c r="B61" s="14" t="s">
        <v>117</v>
      </c>
      <c r="C61" s="16" t="s">
        <v>118</v>
      </c>
    </row>
    <row r="62" spans="1:3" ht="37.5" customHeight="1" x14ac:dyDescent="0.3">
      <c r="A62" s="10">
        <v>51</v>
      </c>
      <c r="B62" s="14" t="s">
        <v>119</v>
      </c>
      <c r="C62" s="16" t="s">
        <v>120</v>
      </c>
    </row>
    <row r="63" spans="1:3" ht="37.5" customHeight="1" x14ac:dyDescent="0.3">
      <c r="A63" s="10">
        <v>52</v>
      </c>
      <c r="B63" s="14" t="s">
        <v>121</v>
      </c>
      <c r="C63" s="16" t="s">
        <v>122</v>
      </c>
    </row>
    <row r="64" spans="1:3" ht="37.5" customHeight="1" x14ac:dyDescent="0.3">
      <c r="A64" s="10">
        <v>53</v>
      </c>
      <c r="B64" s="14" t="s">
        <v>123</v>
      </c>
      <c r="C64" s="16" t="s">
        <v>124</v>
      </c>
    </row>
    <row r="65" spans="1:3" ht="37.5" customHeight="1" x14ac:dyDescent="0.3">
      <c r="A65" s="10">
        <v>54</v>
      </c>
      <c r="B65" s="14" t="s">
        <v>125</v>
      </c>
      <c r="C65" s="16" t="s">
        <v>126</v>
      </c>
    </row>
    <row r="66" spans="1:3" ht="37.5" customHeight="1" x14ac:dyDescent="0.3">
      <c r="A66" s="10">
        <v>55</v>
      </c>
      <c r="B66" s="14" t="s">
        <v>127</v>
      </c>
      <c r="C66" s="16" t="s">
        <v>128</v>
      </c>
    </row>
    <row r="67" spans="1:3" ht="37.5" customHeight="1" x14ac:dyDescent="0.3">
      <c r="A67" s="10">
        <v>56</v>
      </c>
      <c r="B67" s="14" t="s">
        <v>129</v>
      </c>
      <c r="C67" s="16" t="s">
        <v>130</v>
      </c>
    </row>
    <row r="68" spans="1:3" ht="37.5" customHeight="1" x14ac:dyDescent="0.3">
      <c r="A68" s="10">
        <v>57</v>
      </c>
      <c r="B68" s="14" t="s">
        <v>131</v>
      </c>
      <c r="C68" s="16" t="s">
        <v>132</v>
      </c>
    </row>
    <row r="69" spans="1:3" ht="37.5" customHeight="1" x14ac:dyDescent="0.3">
      <c r="A69" s="10">
        <v>58</v>
      </c>
      <c r="B69" s="14" t="s">
        <v>133</v>
      </c>
      <c r="C69" s="16" t="s">
        <v>134</v>
      </c>
    </row>
  </sheetData>
  <sheetProtection sheet="1" objects="1" scenarios="1"/>
  <mergeCells count="9">
    <mergeCell ref="A9:C9"/>
    <mergeCell ref="A1:C1"/>
    <mergeCell ref="A2:C2"/>
    <mergeCell ref="A6:B6"/>
    <mergeCell ref="A7:B7"/>
    <mergeCell ref="A8:B8"/>
    <mergeCell ref="A5:B5"/>
    <mergeCell ref="A3:B3"/>
    <mergeCell ref="A4:B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M18"/>
  <sheetViews>
    <sheetView topLeftCell="AG1" zoomScale="53" zoomScaleNormal="70" workbookViewId="0">
      <selection activeCell="AL20" sqref="AL20"/>
    </sheetView>
  </sheetViews>
  <sheetFormatPr baseColWidth="10" defaultColWidth="11.453125" defaultRowHeight="15" customHeight="1" x14ac:dyDescent="0.25"/>
  <cols>
    <col min="1" max="1" width="13.81640625" style="6" customWidth="1"/>
    <col min="2" max="4" width="16.453125" style="6" customWidth="1"/>
    <col min="5" max="5" width="23.81640625" style="6" customWidth="1"/>
    <col min="6" max="7" width="24.1796875" style="6" customWidth="1"/>
    <col min="8" max="8" width="27.1796875" style="6" bestFit="1" customWidth="1"/>
    <col min="9" max="9" width="43.453125" style="6" customWidth="1"/>
    <col min="10" max="10" width="24.453125" style="9" customWidth="1"/>
    <col min="11" max="11" width="17.453125" style="3" customWidth="1"/>
    <col min="12" max="20" width="17.453125" style="6" customWidth="1"/>
    <col min="21" max="21" width="17.453125" style="3" customWidth="1"/>
    <col min="22" max="22" width="16.453125" style="6" customWidth="1"/>
    <col min="23" max="23" width="16.26953125" style="6" customWidth="1"/>
    <col min="24" max="24" width="19.26953125" style="6" customWidth="1"/>
    <col min="25" max="25" width="18.26953125" style="6" customWidth="1"/>
    <col min="26" max="26" width="40.1796875" style="6" customWidth="1"/>
    <col min="27" max="27" width="18.453125" style="6" customWidth="1"/>
    <col min="28" max="28" width="18.26953125" style="6" customWidth="1"/>
    <col min="29" max="29" width="39.81640625" style="6" customWidth="1"/>
    <col min="30" max="30" width="18.81640625" style="6" customWidth="1"/>
    <col min="31" max="31" width="12.26953125" style="6" customWidth="1"/>
    <col min="32" max="32" width="16.1796875" style="6" customWidth="1"/>
    <col min="33" max="33" width="19.54296875" style="6" customWidth="1"/>
    <col min="34" max="34" width="13" style="6" customWidth="1"/>
    <col min="35" max="35" width="11.453125" style="6" customWidth="1"/>
    <col min="36" max="36" width="15.81640625" style="6" customWidth="1"/>
    <col min="37" max="37" width="32.1796875" style="6" customWidth="1"/>
    <col min="38" max="42" width="19.453125" style="3" customWidth="1"/>
    <col min="43" max="43" width="13.453125" style="6" customWidth="1"/>
    <col min="44" max="44" width="21.26953125" style="6" customWidth="1"/>
    <col min="45" max="45" width="21.81640625" style="6" customWidth="1"/>
    <col min="46" max="46" width="27.26953125" style="6" customWidth="1"/>
    <col min="47" max="47" width="16.453125" style="6" customWidth="1"/>
    <col min="48" max="48" width="18.1796875" style="6" customWidth="1"/>
    <col min="49" max="49" width="22.26953125" style="6" customWidth="1"/>
    <col min="50" max="81" width="11.453125" style="6" customWidth="1"/>
    <col min="82" max="16384" width="11.453125" style="6"/>
  </cols>
  <sheetData>
    <row r="1" spans="1:91" ht="109.5" customHeight="1" x14ac:dyDescent="0.25">
      <c r="A1" s="62" t="s">
        <v>135</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row>
    <row r="2" spans="1:91" ht="13" customHeight="1" x14ac:dyDescent="0.25">
      <c r="A2" s="19"/>
      <c r="B2" s="19"/>
      <c r="C2" s="19"/>
      <c r="D2" s="19"/>
      <c r="E2" s="19"/>
      <c r="F2" s="19"/>
      <c r="G2" s="19"/>
      <c r="H2" s="65" t="s">
        <v>136</v>
      </c>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row>
    <row r="3" spans="1:91" ht="12.75" customHeight="1" x14ac:dyDescent="0.25">
      <c r="A3" s="72" t="s">
        <v>137</v>
      </c>
      <c r="B3" s="72"/>
      <c r="C3" s="20" t="s">
        <v>138</v>
      </c>
      <c r="D3" s="21" t="s">
        <v>139</v>
      </c>
      <c r="E3" s="72" t="s">
        <v>140</v>
      </c>
      <c r="F3" s="22">
        <v>2024</v>
      </c>
      <c r="G3" s="23"/>
      <c r="H3" s="67"/>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row>
    <row r="4" spans="1:91" ht="13" x14ac:dyDescent="0.25">
      <c r="A4" s="72"/>
      <c r="B4" s="72"/>
      <c r="C4" s="20" t="s">
        <v>141</v>
      </c>
      <c r="D4" s="21" t="s">
        <v>142</v>
      </c>
      <c r="E4" s="72"/>
      <c r="F4" s="22">
        <v>2024</v>
      </c>
      <c r="G4" s="23"/>
      <c r="H4" s="67"/>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row>
    <row r="5" spans="1:91" s="7" customFormat="1" ht="12.5" x14ac:dyDescent="0.25">
      <c r="A5" s="2"/>
      <c r="B5" s="2"/>
      <c r="C5" s="2"/>
      <c r="D5" s="2"/>
      <c r="E5" s="2"/>
      <c r="F5" s="2"/>
      <c r="G5" s="2"/>
      <c r="H5" s="69"/>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row>
    <row r="6" spans="1:91" ht="12.75" customHeight="1" x14ac:dyDescent="0.25">
      <c r="A6" s="64" t="s">
        <v>143</v>
      </c>
      <c r="B6" s="64"/>
      <c r="C6" s="64"/>
      <c r="D6" s="64" t="s">
        <v>144</v>
      </c>
      <c r="E6" s="64"/>
      <c r="F6" s="64"/>
      <c r="G6" s="64"/>
      <c r="H6" s="64"/>
      <c r="I6" s="64"/>
      <c r="J6" s="64"/>
      <c r="K6" s="71" t="s">
        <v>145</v>
      </c>
      <c r="L6" s="71"/>
      <c r="M6" s="71"/>
      <c r="N6" s="71"/>
      <c r="O6" s="71"/>
      <c r="P6" s="71"/>
      <c r="Q6" s="71"/>
      <c r="R6" s="71" t="s">
        <v>146</v>
      </c>
      <c r="S6" s="71"/>
      <c r="T6" s="71"/>
      <c r="U6" s="71"/>
      <c r="V6" s="71"/>
      <c r="W6" s="71"/>
      <c r="X6" s="71"/>
      <c r="Y6" s="64" t="s">
        <v>147</v>
      </c>
      <c r="Z6" s="64"/>
      <c r="AA6" s="64"/>
      <c r="AB6" s="64"/>
      <c r="AC6" s="64"/>
      <c r="AD6" s="64"/>
      <c r="AE6" s="64"/>
      <c r="AF6" s="64"/>
      <c r="AG6" s="64"/>
      <c r="AH6" s="64"/>
      <c r="AI6" s="64"/>
      <c r="AJ6" s="64"/>
      <c r="AK6" s="64"/>
      <c r="AL6" s="64" t="s">
        <v>148</v>
      </c>
      <c r="AM6" s="64"/>
      <c r="AN6" s="64"/>
      <c r="AO6" s="64"/>
      <c r="AP6" s="64"/>
      <c r="AQ6" s="64" t="s">
        <v>149</v>
      </c>
      <c r="AR6" s="64"/>
      <c r="AS6" s="64"/>
      <c r="AT6" s="64"/>
      <c r="AU6" s="64"/>
      <c r="AV6" s="64"/>
      <c r="AW6" s="1" t="s">
        <v>150</v>
      </c>
      <c r="AX6" s="74"/>
    </row>
    <row r="7" spans="1:91" ht="15" customHeight="1" x14ac:dyDescent="0.25">
      <c r="A7" s="64"/>
      <c r="B7" s="64"/>
      <c r="C7" s="64"/>
      <c r="D7" s="64"/>
      <c r="E7" s="64"/>
      <c r="F7" s="64"/>
      <c r="G7" s="64"/>
      <c r="H7" s="64"/>
      <c r="I7" s="64"/>
      <c r="J7" s="64"/>
      <c r="K7" s="71"/>
      <c r="L7" s="71"/>
      <c r="M7" s="71"/>
      <c r="N7" s="71"/>
      <c r="O7" s="71"/>
      <c r="P7" s="71"/>
      <c r="Q7" s="71"/>
      <c r="R7" s="71"/>
      <c r="S7" s="71"/>
      <c r="T7" s="71"/>
      <c r="U7" s="71"/>
      <c r="V7" s="71"/>
      <c r="W7" s="71"/>
      <c r="X7" s="71"/>
      <c r="Y7" s="64" t="s">
        <v>151</v>
      </c>
      <c r="Z7" s="64"/>
      <c r="AA7" s="64"/>
      <c r="AB7" s="64" t="s">
        <v>152</v>
      </c>
      <c r="AC7" s="64"/>
      <c r="AD7" s="64"/>
      <c r="AE7" s="73"/>
      <c r="AF7" s="73"/>
      <c r="AG7" s="73"/>
      <c r="AH7" s="73"/>
      <c r="AI7" s="73"/>
      <c r="AJ7" s="73"/>
      <c r="AK7" s="18" t="s">
        <v>153</v>
      </c>
      <c r="AL7" s="71" t="s">
        <v>154</v>
      </c>
      <c r="AM7" s="71"/>
      <c r="AN7" s="71"/>
      <c r="AO7" s="71"/>
      <c r="AP7" s="71"/>
      <c r="AQ7" s="73" t="s">
        <v>155</v>
      </c>
      <c r="AR7" s="73"/>
      <c r="AS7" s="73"/>
      <c r="AT7" s="73"/>
      <c r="AU7" s="73"/>
      <c r="AV7" s="73"/>
      <c r="AW7" s="1" t="s">
        <v>156</v>
      </c>
      <c r="AX7" s="74"/>
    </row>
    <row r="8" spans="1:91" s="8" customFormat="1" ht="69" customHeight="1" x14ac:dyDescent="0.25">
      <c r="A8" s="1" t="s">
        <v>157</v>
      </c>
      <c r="B8" s="1" t="s">
        <v>158</v>
      </c>
      <c r="C8" s="1" t="s">
        <v>159</v>
      </c>
      <c r="D8" s="1" t="s">
        <v>160</v>
      </c>
      <c r="E8" s="1" t="s">
        <v>37</v>
      </c>
      <c r="F8" s="1" t="s">
        <v>43</v>
      </c>
      <c r="G8" s="1" t="s">
        <v>161</v>
      </c>
      <c r="H8" s="1" t="s">
        <v>162</v>
      </c>
      <c r="I8" s="1" t="s">
        <v>163</v>
      </c>
      <c r="J8" s="1" t="s">
        <v>53</v>
      </c>
      <c r="K8" s="1" t="s">
        <v>55</v>
      </c>
      <c r="L8" s="1" t="s">
        <v>57</v>
      </c>
      <c r="M8" s="1" t="s">
        <v>59</v>
      </c>
      <c r="N8" s="1" t="s">
        <v>61</v>
      </c>
      <c r="O8" s="1" t="s">
        <v>164</v>
      </c>
      <c r="P8" s="1" t="s">
        <v>165</v>
      </c>
      <c r="Q8" s="1" t="s">
        <v>166</v>
      </c>
      <c r="R8" s="1" t="s">
        <v>167</v>
      </c>
      <c r="S8" s="1" t="s">
        <v>168</v>
      </c>
      <c r="T8" s="1" t="s">
        <v>169</v>
      </c>
      <c r="U8" s="1" t="s">
        <v>75</v>
      </c>
      <c r="V8" s="1" t="s">
        <v>170</v>
      </c>
      <c r="W8" s="1" t="s">
        <v>171</v>
      </c>
      <c r="X8" s="1" t="s">
        <v>172</v>
      </c>
      <c r="Y8" s="1" t="s">
        <v>83</v>
      </c>
      <c r="Z8" s="1" t="s">
        <v>173</v>
      </c>
      <c r="AA8" s="1" t="s">
        <v>174</v>
      </c>
      <c r="AB8" s="1" t="s">
        <v>83</v>
      </c>
      <c r="AC8" s="1" t="s">
        <v>173</v>
      </c>
      <c r="AD8" s="1" t="s">
        <v>174</v>
      </c>
      <c r="AE8" s="24" t="s">
        <v>175</v>
      </c>
      <c r="AF8" s="24" t="s">
        <v>176</v>
      </c>
      <c r="AG8" s="24" t="s">
        <v>177</v>
      </c>
      <c r="AH8" s="24" t="s">
        <v>178</v>
      </c>
      <c r="AI8" s="24" t="s">
        <v>179</v>
      </c>
      <c r="AJ8" s="24" t="s">
        <v>180</v>
      </c>
      <c r="AK8" s="24" t="s">
        <v>181</v>
      </c>
      <c r="AL8" s="24" t="s">
        <v>182</v>
      </c>
      <c r="AM8" s="24" t="s">
        <v>183</v>
      </c>
      <c r="AN8" s="24" t="s">
        <v>95</v>
      </c>
      <c r="AO8" s="24" t="s">
        <v>184</v>
      </c>
      <c r="AP8" s="24" t="s">
        <v>99</v>
      </c>
      <c r="AQ8" s="24" t="s">
        <v>185</v>
      </c>
      <c r="AR8" s="24" t="s">
        <v>103</v>
      </c>
      <c r="AS8" s="24" t="s">
        <v>105</v>
      </c>
      <c r="AT8" s="24" t="s">
        <v>186</v>
      </c>
      <c r="AU8" s="24" t="s">
        <v>187</v>
      </c>
      <c r="AV8" s="24" t="s">
        <v>131</v>
      </c>
      <c r="AW8" s="24" t="s">
        <v>188</v>
      </c>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row>
    <row r="9" spans="1:91" s="28" customFormat="1" ht="135" customHeight="1" x14ac:dyDescent="0.25">
      <c r="A9" s="29" t="s">
        <v>189</v>
      </c>
      <c r="B9" s="16" t="s">
        <v>190</v>
      </c>
      <c r="C9" s="16" t="s">
        <v>191</v>
      </c>
      <c r="D9" s="29">
        <v>421</v>
      </c>
      <c r="E9" s="29" t="s">
        <v>192</v>
      </c>
      <c r="F9" s="29" t="s">
        <v>193</v>
      </c>
      <c r="G9" s="29" t="s">
        <v>194</v>
      </c>
      <c r="H9" s="16" t="s">
        <v>223</v>
      </c>
      <c r="I9" s="16" t="s">
        <v>228</v>
      </c>
      <c r="J9" s="16" t="s">
        <v>195</v>
      </c>
      <c r="K9" s="29" t="s">
        <v>196</v>
      </c>
      <c r="L9" s="30" t="s">
        <v>242</v>
      </c>
      <c r="M9" s="16" t="s">
        <v>243</v>
      </c>
      <c r="N9" s="16" t="s">
        <v>254</v>
      </c>
      <c r="O9" s="29" t="s">
        <v>227</v>
      </c>
      <c r="P9" s="29" t="s">
        <v>198</v>
      </c>
      <c r="Q9" s="31" t="s">
        <v>247</v>
      </c>
      <c r="R9" s="29" t="s">
        <v>248</v>
      </c>
      <c r="S9" s="29" t="s">
        <v>248</v>
      </c>
      <c r="T9" s="29" t="s">
        <v>248</v>
      </c>
      <c r="U9" s="32">
        <v>1</v>
      </c>
      <c r="V9" s="29">
        <v>2024</v>
      </c>
      <c r="W9" s="16" t="s">
        <v>232</v>
      </c>
      <c r="X9" s="16" t="s">
        <v>233</v>
      </c>
      <c r="Y9" s="34">
        <v>0.47</v>
      </c>
      <c r="Z9" s="16" t="s">
        <v>234</v>
      </c>
      <c r="AA9" s="29" t="s">
        <v>288</v>
      </c>
      <c r="AB9" s="34">
        <v>0.3</v>
      </c>
      <c r="AC9" s="16" t="s">
        <v>235</v>
      </c>
      <c r="AD9" s="29" t="s">
        <v>288</v>
      </c>
      <c r="AE9" s="29" t="s">
        <v>248</v>
      </c>
      <c r="AF9" s="16" t="s">
        <v>259</v>
      </c>
      <c r="AG9" s="29" t="s">
        <v>248</v>
      </c>
      <c r="AH9" s="29" t="s">
        <v>248</v>
      </c>
      <c r="AI9" s="29" t="s">
        <v>248</v>
      </c>
      <c r="AJ9" s="29" t="s">
        <v>248</v>
      </c>
      <c r="AK9" s="16" t="s">
        <v>249</v>
      </c>
      <c r="AL9" s="29">
        <v>711</v>
      </c>
      <c r="AM9" s="29" t="s">
        <v>199</v>
      </c>
      <c r="AN9" s="29" t="s">
        <v>253</v>
      </c>
      <c r="AO9" s="29">
        <v>711</v>
      </c>
      <c r="AP9" s="29" t="s">
        <v>199</v>
      </c>
      <c r="AQ9" s="29">
        <v>200384</v>
      </c>
      <c r="AR9" s="16" t="s">
        <v>251</v>
      </c>
      <c r="AS9" s="34">
        <v>1</v>
      </c>
      <c r="AT9" s="35">
        <v>20603523987</v>
      </c>
      <c r="AU9" s="35">
        <v>20579645987</v>
      </c>
      <c r="AV9" s="16" t="s">
        <v>250</v>
      </c>
      <c r="AW9" s="27"/>
    </row>
    <row r="10" spans="1:91" s="28" customFormat="1" ht="137.25" customHeight="1" x14ac:dyDescent="0.25">
      <c r="A10" s="29" t="s">
        <v>189</v>
      </c>
      <c r="B10" s="16" t="s">
        <v>200</v>
      </c>
      <c r="C10" s="16" t="s">
        <v>191</v>
      </c>
      <c r="D10" s="29">
        <v>422</v>
      </c>
      <c r="E10" s="29" t="s">
        <v>192</v>
      </c>
      <c r="F10" s="29" t="s">
        <v>193</v>
      </c>
      <c r="G10" s="29" t="s">
        <v>201</v>
      </c>
      <c r="H10" s="16" t="s">
        <v>226</v>
      </c>
      <c r="I10" s="16" t="s">
        <v>229</v>
      </c>
      <c r="J10" s="16" t="s">
        <v>195</v>
      </c>
      <c r="K10" s="29" t="s">
        <v>196</v>
      </c>
      <c r="L10" s="30" t="s">
        <v>242</v>
      </c>
      <c r="M10" s="16" t="s">
        <v>244</v>
      </c>
      <c r="N10" s="16" t="s">
        <v>254</v>
      </c>
      <c r="O10" s="29" t="s">
        <v>227</v>
      </c>
      <c r="P10" s="29" t="s">
        <v>198</v>
      </c>
      <c r="Q10" s="31" t="s">
        <v>247</v>
      </c>
      <c r="R10" s="29" t="s">
        <v>248</v>
      </c>
      <c r="S10" s="29" t="s">
        <v>248</v>
      </c>
      <c r="T10" s="29" t="s">
        <v>248</v>
      </c>
      <c r="U10" s="32">
        <v>1</v>
      </c>
      <c r="V10" s="29">
        <v>2024</v>
      </c>
      <c r="W10" s="16" t="s">
        <v>232</v>
      </c>
      <c r="X10" s="16" t="s">
        <v>233</v>
      </c>
      <c r="Y10" s="33">
        <f>69/228</f>
        <v>0.30263157894736842</v>
      </c>
      <c r="Z10" s="16" t="s">
        <v>236</v>
      </c>
      <c r="AA10" s="29" t="s">
        <v>288</v>
      </c>
      <c r="AB10" s="33">
        <f>15/228</f>
        <v>6.5789473684210523E-2</v>
      </c>
      <c r="AC10" s="16" t="s">
        <v>237</v>
      </c>
      <c r="AD10" s="29" t="s">
        <v>288</v>
      </c>
      <c r="AE10" s="29" t="s">
        <v>248</v>
      </c>
      <c r="AF10" s="16" t="s">
        <v>259</v>
      </c>
      <c r="AG10" s="29" t="s">
        <v>248</v>
      </c>
      <c r="AH10" s="29" t="s">
        <v>248</v>
      </c>
      <c r="AI10" s="29" t="s">
        <v>248</v>
      </c>
      <c r="AJ10" s="29" t="s">
        <v>248</v>
      </c>
      <c r="AK10" s="16" t="s">
        <v>249</v>
      </c>
      <c r="AL10" s="29">
        <v>711</v>
      </c>
      <c r="AM10" s="29" t="s">
        <v>199</v>
      </c>
      <c r="AN10" s="29" t="s">
        <v>253</v>
      </c>
      <c r="AO10" s="29">
        <v>711</v>
      </c>
      <c r="AP10" s="29" t="s">
        <v>199</v>
      </c>
      <c r="AQ10" s="29">
        <v>200384</v>
      </c>
      <c r="AR10" s="16" t="s">
        <v>251</v>
      </c>
      <c r="AS10" s="34">
        <v>1</v>
      </c>
      <c r="AT10" s="35">
        <v>20603523987</v>
      </c>
      <c r="AU10" s="35">
        <v>20579645987</v>
      </c>
      <c r="AV10" s="16" t="s">
        <v>250</v>
      </c>
      <c r="AW10" s="27"/>
    </row>
    <row r="11" spans="1:91" s="28" customFormat="1" ht="117.75" customHeight="1" x14ac:dyDescent="0.25">
      <c r="A11" s="29" t="s">
        <v>189</v>
      </c>
      <c r="B11" s="16" t="s">
        <v>202</v>
      </c>
      <c r="C11" s="16" t="s">
        <v>191</v>
      </c>
      <c r="D11" s="29">
        <v>423</v>
      </c>
      <c r="E11" s="29" t="s">
        <v>192</v>
      </c>
      <c r="F11" s="29" t="s">
        <v>193</v>
      </c>
      <c r="G11" s="29" t="s">
        <v>201</v>
      </c>
      <c r="H11" s="16" t="s">
        <v>224</v>
      </c>
      <c r="I11" s="16" t="s">
        <v>230</v>
      </c>
      <c r="J11" s="16" t="s">
        <v>195</v>
      </c>
      <c r="K11" s="29" t="s">
        <v>196</v>
      </c>
      <c r="L11" s="30" t="s">
        <v>242</v>
      </c>
      <c r="M11" s="16" t="s">
        <v>245</v>
      </c>
      <c r="N11" s="16" t="s">
        <v>254</v>
      </c>
      <c r="O11" s="29" t="s">
        <v>227</v>
      </c>
      <c r="P11" s="29" t="s">
        <v>198</v>
      </c>
      <c r="Q11" s="31" t="s">
        <v>247</v>
      </c>
      <c r="R11" s="29" t="s">
        <v>248</v>
      </c>
      <c r="S11" s="29" t="s">
        <v>248</v>
      </c>
      <c r="T11" s="29" t="s">
        <v>248</v>
      </c>
      <c r="U11" s="32">
        <v>1</v>
      </c>
      <c r="V11" s="29">
        <v>2024</v>
      </c>
      <c r="W11" s="16" t="s">
        <v>232</v>
      </c>
      <c r="X11" s="16" t="s">
        <v>233</v>
      </c>
      <c r="Y11" s="33">
        <f>155/228</f>
        <v>0.67982456140350878</v>
      </c>
      <c r="Z11" s="16" t="s">
        <v>238</v>
      </c>
      <c r="AA11" s="29" t="s">
        <v>288</v>
      </c>
      <c r="AB11" s="33">
        <f>121/228</f>
        <v>0.5307017543859649</v>
      </c>
      <c r="AC11" s="16" t="s">
        <v>239</v>
      </c>
      <c r="AD11" s="29" t="s">
        <v>288</v>
      </c>
      <c r="AE11" s="29" t="s">
        <v>248</v>
      </c>
      <c r="AF11" s="16" t="s">
        <v>259</v>
      </c>
      <c r="AG11" s="29" t="s">
        <v>248</v>
      </c>
      <c r="AH11" s="29" t="s">
        <v>248</v>
      </c>
      <c r="AI11" s="29" t="s">
        <v>248</v>
      </c>
      <c r="AJ11" s="29" t="s">
        <v>248</v>
      </c>
      <c r="AK11" s="16" t="s">
        <v>249</v>
      </c>
      <c r="AL11" s="29">
        <v>711</v>
      </c>
      <c r="AM11" s="29" t="s">
        <v>199</v>
      </c>
      <c r="AN11" s="29" t="s">
        <v>253</v>
      </c>
      <c r="AO11" s="29">
        <v>711</v>
      </c>
      <c r="AP11" s="29" t="s">
        <v>199</v>
      </c>
      <c r="AQ11" s="29">
        <v>200384</v>
      </c>
      <c r="AR11" s="16" t="s">
        <v>251</v>
      </c>
      <c r="AS11" s="34">
        <v>1</v>
      </c>
      <c r="AT11" s="35">
        <v>20603523987</v>
      </c>
      <c r="AU11" s="35">
        <v>20579645987</v>
      </c>
      <c r="AV11" s="16" t="s">
        <v>250</v>
      </c>
      <c r="AW11" s="27"/>
    </row>
    <row r="12" spans="1:91" s="25" customFormat="1" ht="409.5" x14ac:dyDescent="0.25">
      <c r="A12" s="29" t="s">
        <v>189</v>
      </c>
      <c r="B12" s="16" t="s">
        <v>203</v>
      </c>
      <c r="C12" s="16" t="s">
        <v>204</v>
      </c>
      <c r="D12" s="29">
        <v>424</v>
      </c>
      <c r="E12" s="29" t="s">
        <v>205</v>
      </c>
      <c r="F12" s="29" t="s">
        <v>206</v>
      </c>
      <c r="G12" s="29" t="s">
        <v>194</v>
      </c>
      <c r="H12" s="16" t="s">
        <v>203</v>
      </c>
      <c r="I12" s="16" t="s">
        <v>263</v>
      </c>
      <c r="J12" s="16" t="s">
        <v>195</v>
      </c>
      <c r="K12" s="29" t="s">
        <v>196</v>
      </c>
      <c r="L12" s="16" t="s">
        <v>264</v>
      </c>
      <c r="M12" s="16" t="s">
        <v>265</v>
      </c>
      <c r="N12" s="16" t="s">
        <v>266</v>
      </c>
      <c r="O12" s="29" t="s">
        <v>197</v>
      </c>
      <c r="P12" s="29" t="s">
        <v>198</v>
      </c>
      <c r="Q12" s="37" t="s">
        <v>247</v>
      </c>
      <c r="R12" s="16" t="s">
        <v>281</v>
      </c>
      <c r="S12" s="16" t="s">
        <v>248</v>
      </c>
      <c r="T12" s="16" t="s">
        <v>248</v>
      </c>
      <c r="U12" s="40">
        <v>1200</v>
      </c>
      <c r="V12" s="29">
        <v>2024</v>
      </c>
      <c r="W12" s="16" t="s">
        <v>232</v>
      </c>
      <c r="X12" s="16" t="s">
        <v>262</v>
      </c>
      <c r="Y12" s="16">
        <v>919</v>
      </c>
      <c r="Z12" s="16" t="s">
        <v>269</v>
      </c>
      <c r="AA12" s="16" t="s">
        <v>270</v>
      </c>
      <c r="AB12" s="16">
        <v>1207</v>
      </c>
      <c r="AC12" s="16" t="s">
        <v>286</v>
      </c>
      <c r="AD12" s="16" t="s">
        <v>270</v>
      </c>
      <c r="AE12" s="16" t="s">
        <v>268</v>
      </c>
      <c r="AF12" s="16" t="s">
        <v>271</v>
      </c>
      <c r="AG12" s="16" t="s">
        <v>248</v>
      </c>
      <c r="AH12" s="16" t="s">
        <v>248</v>
      </c>
      <c r="AI12" s="16" t="s">
        <v>248</v>
      </c>
      <c r="AJ12" s="16" t="s">
        <v>248</v>
      </c>
      <c r="AK12" s="16" t="s">
        <v>249</v>
      </c>
      <c r="AL12" s="29">
        <v>711</v>
      </c>
      <c r="AM12" s="29" t="s">
        <v>199</v>
      </c>
      <c r="AN12" s="29" t="s">
        <v>272</v>
      </c>
      <c r="AO12" s="29">
        <v>711</v>
      </c>
      <c r="AP12" s="29" t="s">
        <v>199</v>
      </c>
      <c r="AQ12" s="16" t="s">
        <v>268</v>
      </c>
      <c r="AR12" s="16" t="s">
        <v>268</v>
      </c>
      <c r="AS12" s="16" t="s">
        <v>248</v>
      </c>
      <c r="AT12" s="16" t="s">
        <v>248</v>
      </c>
      <c r="AU12" s="16" t="s">
        <v>248</v>
      </c>
      <c r="AV12" s="16" t="s">
        <v>273</v>
      </c>
      <c r="AW12" s="17"/>
    </row>
    <row r="13" spans="1:91" s="28" customFormat="1" ht="123.75" customHeight="1" x14ac:dyDescent="0.25">
      <c r="A13" s="29" t="s">
        <v>189</v>
      </c>
      <c r="B13" s="16" t="s">
        <v>207</v>
      </c>
      <c r="C13" s="16" t="s">
        <v>191</v>
      </c>
      <c r="D13" s="29">
        <v>426</v>
      </c>
      <c r="E13" s="29" t="s">
        <v>205</v>
      </c>
      <c r="F13" s="29" t="s">
        <v>208</v>
      </c>
      <c r="G13" s="29" t="s">
        <v>209</v>
      </c>
      <c r="H13" s="16" t="s">
        <v>225</v>
      </c>
      <c r="I13" s="16" t="s">
        <v>231</v>
      </c>
      <c r="J13" s="16" t="s">
        <v>195</v>
      </c>
      <c r="K13" s="29" t="s">
        <v>196</v>
      </c>
      <c r="L13" s="30" t="s">
        <v>242</v>
      </c>
      <c r="M13" s="16" t="s">
        <v>246</v>
      </c>
      <c r="N13" s="16" t="s">
        <v>254</v>
      </c>
      <c r="O13" s="29" t="s">
        <v>227</v>
      </c>
      <c r="P13" s="29" t="s">
        <v>198</v>
      </c>
      <c r="Q13" s="31" t="s">
        <v>247</v>
      </c>
      <c r="R13" s="29" t="s">
        <v>248</v>
      </c>
      <c r="S13" s="29" t="s">
        <v>248</v>
      </c>
      <c r="T13" s="29" t="s">
        <v>248</v>
      </c>
      <c r="U13" s="32">
        <v>1</v>
      </c>
      <c r="V13" s="29">
        <v>2024</v>
      </c>
      <c r="W13" s="16" t="s">
        <v>232</v>
      </c>
      <c r="X13" s="16" t="s">
        <v>233</v>
      </c>
      <c r="Y13" s="33">
        <f>228/228</f>
        <v>1</v>
      </c>
      <c r="Z13" s="16" t="s">
        <v>240</v>
      </c>
      <c r="AA13" s="29" t="s">
        <v>288</v>
      </c>
      <c r="AB13" s="33">
        <f>212/228</f>
        <v>0.92982456140350878</v>
      </c>
      <c r="AC13" s="16" t="s">
        <v>241</v>
      </c>
      <c r="AD13" s="29" t="s">
        <v>288</v>
      </c>
      <c r="AE13" s="29" t="s">
        <v>248</v>
      </c>
      <c r="AF13" s="16" t="s">
        <v>259</v>
      </c>
      <c r="AG13" s="29" t="s">
        <v>248</v>
      </c>
      <c r="AH13" s="29" t="s">
        <v>248</v>
      </c>
      <c r="AI13" s="29" t="s">
        <v>248</v>
      </c>
      <c r="AJ13" s="29" t="s">
        <v>248</v>
      </c>
      <c r="AK13" s="16" t="s">
        <v>249</v>
      </c>
      <c r="AL13" s="29">
        <v>711</v>
      </c>
      <c r="AM13" s="29" t="s">
        <v>199</v>
      </c>
      <c r="AN13" s="29" t="s">
        <v>253</v>
      </c>
      <c r="AO13" s="29">
        <v>711</v>
      </c>
      <c r="AP13" s="29" t="s">
        <v>199</v>
      </c>
      <c r="AQ13" s="29">
        <v>200384</v>
      </c>
      <c r="AR13" s="16" t="s">
        <v>251</v>
      </c>
      <c r="AS13" s="34">
        <v>1</v>
      </c>
      <c r="AT13" s="35">
        <v>20603523987</v>
      </c>
      <c r="AU13" s="35">
        <v>20579645987</v>
      </c>
      <c r="AV13" s="16" t="s">
        <v>250</v>
      </c>
      <c r="AW13" s="27"/>
    </row>
    <row r="14" spans="1:91" s="25" customFormat="1" ht="150" x14ac:dyDescent="0.25">
      <c r="A14" s="29" t="s">
        <v>189</v>
      </c>
      <c r="B14" s="16" t="s">
        <v>210</v>
      </c>
      <c r="C14" s="16" t="s">
        <v>204</v>
      </c>
      <c r="D14" s="29">
        <v>427</v>
      </c>
      <c r="E14" s="29" t="s">
        <v>205</v>
      </c>
      <c r="F14" s="29" t="s">
        <v>208</v>
      </c>
      <c r="G14" s="29" t="s">
        <v>194</v>
      </c>
      <c r="H14" s="16" t="s">
        <v>210</v>
      </c>
      <c r="I14" s="16" t="s">
        <v>211</v>
      </c>
      <c r="J14" s="16" t="s">
        <v>195</v>
      </c>
      <c r="K14" s="29" t="s">
        <v>196</v>
      </c>
      <c r="L14" s="16" t="s">
        <v>264</v>
      </c>
      <c r="M14" s="16" t="s">
        <v>274</v>
      </c>
      <c r="N14" s="16" t="s">
        <v>266</v>
      </c>
      <c r="O14" s="29" t="s">
        <v>197</v>
      </c>
      <c r="P14" s="29" t="s">
        <v>198</v>
      </c>
      <c r="Q14" s="37" t="s">
        <v>247</v>
      </c>
      <c r="R14" s="16" t="s">
        <v>281</v>
      </c>
      <c r="S14" s="16" t="s">
        <v>248</v>
      </c>
      <c r="T14" s="16" t="s">
        <v>248</v>
      </c>
      <c r="U14" s="41">
        <v>250</v>
      </c>
      <c r="V14" s="29">
        <v>2024</v>
      </c>
      <c r="W14" s="16" t="s">
        <v>232</v>
      </c>
      <c r="X14" s="16" t="s">
        <v>261</v>
      </c>
      <c r="Y14" s="16">
        <v>242</v>
      </c>
      <c r="Z14" s="16" t="s">
        <v>275</v>
      </c>
      <c r="AA14" s="16" t="s">
        <v>289</v>
      </c>
      <c r="AB14" s="16">
        <v>250</v>
      </c>
      <c r="AC14" s="16" t="s">
        <v>287</v>
      </c>
      <c r="AD14" s="16" t="s">
        <v>289</v>
      </c>
      <c r="AE14" s="16" t="s">
        <v>268</v>
      </c>
      <c r="AF14" s="16" t="s">
        <v>259</v>
      </c>
      <c r="AG14" s="16" t="s">
        <v>248</v>
      </c>
      <c r="AH14" s="16" t="s">
        <v>248</v>
      </c>
      <c r="AI14" s="16" t="s">
        <v>248</v>
      </c>
      <c r="AJ14" s="16" t="s">
        <v>248</v>
      </c>
      <c r="AK14" s="16" t="s">
        <v>249</v>
      </c>
      <c r="AL14" s="29">
        <v>711</v>
      </c>
      <c r="AM14" s="29" t="s">
        <v>199</v>
      </c>
      <c r="AN14" s="29" t="s">
        <v>272</v>
      </c>
      <c r="AO14" s="29">
        <v>711</v>
      </c>
      <c r="AP14" s="29" t="s">
        <v>199</v>
      </c>
      <c r="AQ14" s="16" t="s">
        <v>268</v>
      </c>
      <c r="AR14" s="16" t="s">
        <v>268</v>
      </c>
      <c r="AS14" s="16" t="s">
        <v>248</v>
      </c>
      <c r="AT14" s="16" t="s">
        <v>248</v>
      </c>
      <c r="AU14" s="16" t="s">
        <v>248</v>
      </c>
      <c r="AV14" s="16" t="s">
        <v>273</v>
      </c>
      <c r="AW14" s="17"/>
    </row>
    <row r="15" spans="1:91" s="25" customFormat="1" ht="162.5" x14ac:dyDescent="0.25">
      <c r="A15" s="29" t="s">
        <v>189</v>
      </c>
      <c r="B15" s="16" t="s">
        <v>212</v>
      </c>
      <c r="C15" s="16" t="s">
        <v>204</v>
      </c>
      <c r="D15" s="29">
        <v>428</v>
      </c>
      <c r="E15" s="29" t="s">
        <v>205</v>
      </c>
      <c r="F15" s="29" t="s">
        <v>206</v>
      </c>
      <c r="G15" s="29" t="s">
        <v>194</v>
      </c>
      <c r="H15" s="16" t="s">
        <v>212</v>
      </c>
      <c r="I15" s="16" t="s">
        <v>213</v>
      </c>
      <c r="J15" s="16" t="s">
        <v>195</v>
      </c>
      <c r="K15" s="29" t="s">
        <v>196</v>
      </c>
      <c r="L15" s="16" t="s">
        <v>264</v>
      </c>
      <c r="M15" s="16" t="s">
        <v>277</v>
      </c>
      <c r="N15" s="16" t="s">
        <v>278</v>
      </c>
      <c r="O15" s="29" t="s">
        <v>197</v>
      </c>
      <c r="P15" s="29" t="s">
        <v>214</v>
      </c>
      <c r="Q15" s="37" t="s">
        <v>247</v>
      </c>
      <c r="R15" s="16" t="s">
        <v>281</v>
      </c>
      <c r="S15" s="16" t="s">
        <v>248</v>
      </c>
      <c r="T15" s="16" t="s">
        <v>248</v>
      </c>
      <c r="U15" s="41">
        <v>0</v>
      </c>
      <c r="V15" s="29">
        <v>2024</v>
      </c>
      <c r="W15" s="16" t="s">
        <v>232</v>
      </c>
      <c r="X15" s="16" t="s">
        <v>262</v>
      </c>
      <c r="Y15" s="16">
        <v>0</v>
      </c>
      <c r="Z15" s="16" t="s">
        <v>279</v>
      </c>
      <c r="AA15" s="16" t="s">
        <v>276</v>
      </c>
      <c r="AB15" s="16">
        <v>0</v>
      </c>
      <c r="AC15" s="16" t="s">
        <v>280</v>
      </c>
      <c r="AD15" s="16" t="s">
        <v>276</v>
      </c>
      <c r="AE15" s="16" t="s">
        <v>268</v>
      </c>
      <c r="AF15" s="16" t="s">
        <v>259</v>
      </c>
      <c r="AG15" s="16" t="s">
        <v>248</v>
      </c>
      <c r="AH15" s="16" t="s">
        <v>248</v>
      </c>
      <c r="AI15" s="16" t="s">
        <v>248</v>
      </c>
      <c r="AJ15" s="16" t="s">
        <v>248</v>
      </c>
      <c r="AK15" s="16" t="s">
        <v>249</v>
      </c>
      <c r="AL15" s="29">
        <v>711</v>
      </c>
      <c r="AM15" s="29" t="s">
        <v>199</v>
      </c>
      <c r="AN15" s="29" t="s">
        <v>272</v>
      </c>
      <c r="AO15" s="29">
        <v>711</v>
      </c>
      <c r="AP15" s="29" t="s">
        <v>199</v>
      </c>
      <c r="AQ15" s="16" t="s">
        <v>268</v>
      </c>
      <c r="AR15" s="16" t="s">
        <v>268</v>
      </c>
      <c r="AS15" s="16" t="s">
        <v>248</v>
      </c>
      <c r="AT15" s="16" t="s">
        <v>248</v>
      </c>
      <c r="AU15" s="16" t="s">
        <v>248</v>
      </c>
      <c r="AV15" s="16" t="s">
        <v>273</v>
      </c>
      <c r="AW15" s="17"/>
    </row>
    <row r="18" spans="30:31" ht="15" customHeight="1" x14ac:dyDescent="0.25">
      <c r="AD18" s="26"/>
      <c r="AE18" s="26"/>
    </row>
  </sheetData>
  <protectedRanges>
    <protectedRange sqref="L1:N11 L13:N13 L16:N1048576" name="Rango1"/>
    <protectedRange sqref="Q1:T11 AE13 AE9:AE11 AG9:AJ11 AG13:AJ13 Q13:T13 Q16:T1048576" name="Rango2"/>
    <protectedRange sqref="W1:AA8 AC9:AC11 W9:Z11 W13:Z13 W16:AA1048576 AC13" name="Rango3"/>
    <protectedRange sqref="AE1:AK8 AE16:AK1048576 AK9:AK11 AK13" name="Rango4"/>
    <protectedRange sqref="AN1:AN11 AN13 AN16:AN1048576" name="Rango5"/>
    <protectedRange sqref="AA9:AA11 AA13 AD13 AD9:AD11" name="Rango3_3"/>
    <protectedRange sqref="AF9" name="Rango4_1"/>
    <protectedRange sqref="AF10" name="Rango4_2"/>
    <protectedRange sqref="AF11" name="Rango4_3"/>
    <protectedRange sqref="AF13" name="Rango4_4"/>
    <protectedRange sqref="W12:AA12" name="Rango3_4_1"/>
    <protectedRange sqref="AE12:AK12" name="Rango4_7_1"/>
    <protectedRange sqref="AN12" name="Rango5_3_1"/>
    <protectedRange sqref="L12:N12" name="Rango1_2_1_1"/>
    <protectedRange sqref="Q12:T12" name="Rango2_3_1_1"/>
    <protectedRange sqref="R14" name="Rango2_3_2"/>
    <protectedRange sqref="W14:Z14" name="Rango3_2_1_1"/>
    <protectedRange sqref="AE14:AK14" name="Rango4_6_1"/>
    <protectedRange sqref="AN14" name="Rango5_2_1"/>
    <protectedRange sqref="Q14 S14:T15" name="Rango2_1_1"/>
    <protectedRange sqref="R15" name="Rango2_3_3"/>
    <protectedRange sqref="W15:X15" name="Rango3_2_2"/>
    <protectedRange sqref="AE15:AK15" name="Rango4_6_2"/>
    <protectedRange sqref="AN15" name="Rango5_2_1_1"/>
    <protectedRange sqref="Q15" name="Rango2_1_2"/>
    <protectedRange sqref="AA15" name="Rango3_1_1_1_1"/>
    <protectedRange sqref="Y15:Z15" name="Rango3_2_1_1_1"/>
  </protectedRanges>
  <autoFilter ref="A8:CC15" xr:uid="{00000000-0009-0000-0000-000001000000}"/>
  <mergeCells count="18">
    <mergeCell ref="AX6:AX7"/>
    <mergeCell ref="Y6:AD6"/>
    <mergeCell ref="AB7:AD7"/>
    <mergeCell ref="A1:AW1"/>
    <mergeCell ref="A6:C7"/>
    <mergeCell ref="H2:AW5"/>
    <mergeCell ref="K6:Q7"/>
    <mergeCell ref="R6:X7"/>
    <mergeCell ref="E3:E4"/>
    <mergeCell ref="A3:B4"/>
    <mergeCell ref="D6:J7"/>
    <mergeCell ref="AE7:AJ7"/>
    <mergeCell ref="AL7:AP7"/>
    <mergeCell ref="AQ7:AV7"/>
    <mergeCell ref="AQ6:AV6"/>
    <mergeCell ref="AL6:AP6"/>
    <mergeCell ref="AE6:AK6"/>
    <mergeCell ref="Y7:AA7"/>
  </mergeCells>
  <phoneticPr fontId="5" type="noConversion"/>
  <dataValidations xWindow="1001" yWindow="432" count="45">
    <dataValidation allowBlank="1" showErrorMessage="1" sqref="AW7" xr:uid="{00000000-0002-0000-0100-000000000000}"/>
    <dataValidation type="list" allowBlank="1" showInputMessage="1" showErrorMessage="1" sqref="D3:D4" xr:uid="{00000000-0002-0000-0100-000001000000}">
      <formula1>"Enero,Febrero,Marzo,Abril,Mayo,Junio,Julio,Agosto,Septiembre,Octubre,Noviembre,Diciembre"</formula1>
    </dataValidation>
    <dataValidation allowBlank="1" showInputMessage="1" showErrorMessage="1" prompt="Por favor seleccionar el Proyecto de acuerdo al Progama" sqref="C8" xr:uid="{00000000-0002-0000-0100-000002000000}"/>
    <dataValidation allowBlank="1" showInputMessage="1" showErrorMessage="1" prompt="Por favor elija el Pilar o Eje del PDD." sqref="A8" xr:uid="{00000000-0002-0000-0100-000003000000}"/>
    <dataValidation allowBlank="1" showInputMessage="1" showErrorMessage="1" prompt="Por favor seleccionar el Programa de acuerdo al Pilar o Eje." sqref="B8" xr:uid="{00000000-0002-0000-0100-000004000000}"/>
    <dataValidation allowBlank="1" showInputMessage="1" showErrorMessage="1" prompt="Marque con una X" sqref="AE8 AG8:AJ8" xr:uid="{00000000-0002-0000-0100-000005000000}"/>
    <dataValidation allowBlank="1" showInputMessage="1" showErrorMessage="1" prompt="Seleccione" sqref="AF8" xr:uid="{00000000-0002-0000-0100-000006000000}"/>
    <dataValidation allowBlank="1" showInputMessage="1" showErrorMessage="1" prompt="Se refiere al código consecutivo asignado." sqref="D8" xr:uid="{00000000-0002-0000-0100-000007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xr:uid="{00000000-0002-0000-0100-000008000000}"/>
    <dataValidation allowBlank="1" showInputMessage="1" showErrorMessage="1" prompt="Debe coincidir con la unidad de medida del indicador para poder ser comparables." sqref="T8" xr:uid="{00000000-0002-0000-0100-000009000000}"/>
    <dataValidation allowBlank="1" showInputMessage="1" showErrorMessage="1" prompt="Frecuencia con la cual se debe calcular y registrar los resultados del indicador." sqref="P8" xr:uid="{00000000-0002-0000-0100-00000A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xr:uid="{00000000-0002-0000-0100-00000B000000}"/>
    <dataValidation allowBlank="1" showInputMessage="1" showErrorMessage="1" prompt="Relacionar la medida en la cual se obtiene el resultado del indicador." sqref="O8" xr:uid="{00000000-0002-0000-0100-00000C000000}"/>
    <dataValidation allowBlank="1" showInputMessage="1" showErrorMessage="1" prompt="Escriba la Meta que se tienen programada." sqref="U8" xr:uid="{00000000-0002-0000-0100-00000D000000}"/>
    <dataValidation allowBlank="1" showInputMessage="1" showErrorMessage="1" prompt="Manera cómo se medirá el producto. " sqref="I8" xr:uid="{00000000-0002-0000-0100-00000E000000}"/>
    <dataValidation allowBlank="1" showInputMessage="1" showErrorMessage="1" prompt="Nivel al que corresponde el indicador." sqref="K8" xr:uid="{00000000-0002-0000-0100-00000F000000}"/>
    <dataValidation allowBlank="1" showInputMessage="1" showErrorMessage="1" prompt="Numerador y denominador que definen la forma de cálculo del indicador." sqref="L8" xr:uid="{00000000-0002-0000-0100-000010000000}"/>
    <dataValidation allowBlank="1" showInputMessage="1" showErrorMessage="1" prompt="Definición o explicación de las variables que hacen parte de la fórmula del indicador." sqref="M8" xr:uid="{00000000-0002-0000-0100-000011000000}"/>
    <dataValidation allowBlank="1" showInputMessage="1" showErrorMessage="1" prompt="Fuente que produce o de la cual se extrae la información." sqref="N8" xr:uid="{00000000-0002-0000-0100-000012000000}"/>
    <dataValidation allowBlank="1" showInputMessage="1" showErrorMessage="1" prompt="Fecha o periodo en que se dispone del dato para su reporte a SIEM." sqref="Q8" xr:uid="{00000000-0002-0000-0100-000013000000}"/>
    <dataValidation allowBlank="1" showInputMessage="1" showErrorMessage="1" prompt="Año en el cual se obtuvo la línea base del indicador." sqref="S8" xr:uid="{00000000-0002-0000-0100-000014000000}"/>
    <dataValidation allowBlank="1" showInputMessage="1" showErrorMessage="1" prompt="Seleccione el comportamiento desado del indicador, en tres categorias: Incrementar, mantener o dismunuir." sqref="W8" xr:uid="{00000000-0002-0000-0100-000015000000}"/>
    <dataValidation allowBlank="1" showInputMessage="1" showErrorMessage="1" prompt="Seleccione la manera cómo se registran los avances en el indicador a lo largo del tiempo para su respectiva medición." sqref="X8" xr:uid="{00000000-0002-0000-0100-000016000000}"/>
    <dataValidation allowBlank="1" showInputMessage="1" showErrorMessage="1" prompt="Seleccione, según la PPPC." sqref="E8" xr:uid="{00000000-0002-0000-0100-000017000000}"/>
    <dataValidation allowBlank="1" showInputMessage="1" showErrorMessage="1" prompt="Asigne, según la PPPC." sqref="F8:G8" xr:uid="{00000000-0002-0000-0100-000018000000}"/>
    <dataValidation allowBlank="1" showInputMessage="1" showErrorMessage="1" prompt="Según la desagregación territorial, indique las comunas o corregimientos del ámbito de intervención; puede ser uno o varios. " sqref="AK8" xr:uid="{00000000-0002-0000-0100-000019000000}"/>
    <dataValidation allowBlank="1" showInputMessage="1" showErrorMessage="1" prompt="Especifique la Unidad responsable del reporte de la información." sqref="AN8" xr:uid="{00000000-0002-0000-0100-00001A000000}"/>
    <dataValidation allowBlank="1" showInputMessage="1" showErrorMessage="1" prompt="Asignar, según pestaña &quot;Cód y nombre dependencia&quot;" sqref="AL8:AM8 AO8:AP8" xr:uid="{00000000-0002-0000-0100-00001B000000}"/>
    <dataValidation allowBlank="1" showInputMessage="1" showErrorMessage="1" prompt="Indique a qué población está dirigida la intervención." sqref="J8" xr:uid="{00000000-0002-0000-0100-00001C000000}"/>
    <dataValidation allowBlank="1" showInputMessage="1" showErrorMessage="1" prompt="Identificador único del proyecto. " sqref="AQ8" xr:uid="{00000000-0002-0000-0100-00001D000000}"/>
    <dataValidation allowBlank="1" showInputMessage="1" showErrorMessage="1" prompt="Nombre oficial del proyecto. " sqref="AR8" xr:uid="{00000000-0002-0000-0100-00001E000000}"/>
    <dataValidation allowBlank="1" showInputMessage="1" showErrorMessage="1" prompt="Meta final que busca alcanzar el proyecto. " sqref="AS8" xr:uid="{00000000-0002-0000-0100-00001F000000}"/>
    <dataValidation allowBlank="1" showInputMessage="1" showErrorMessage="1" prompt="Monto total asignado para el proyecto." sqref="AT8" xr:uid="{00000000-0002-0000-0100-000020000000}"/>
    <dataValidation allowBlank="1" showInputMessage="1" showErrorMessage="1" prompt="Monto total ejecutado para el cumplimiento de la meta." sqref="AU8" xr:uid="{00000000-0002-0000-0100-000021000000}"/>
    <dataValidation allowBlank="1" showInputMessage="1" showErrorMessage="1" prompt="Cualquier aclaración o detalle adicional sobre el presupuesto." sqref="AV8" xr:uid="{00000000-0002-0000-0100-000022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AW8" xr:uid="{00000000-0002-0000-0100-000023000000}"/>
    <dataValidation allowBlank="1" showInputMessage="1" showErrorMessage="1" prompt="Registre el resultado cuantitativo obtenido para la medición del indicador en el periodo correspondiente." sqref="Y8 AB8" xr:uid="{00000000-0002-0000-0100-000024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xr:uid="{00000000-0002-0000-0100-000025000000}"/>
    <dataValidation allowBlank="1" showInputMessage="1" showErrorMessage="1" prompt="Describir la fuente de la cual se obtiene la información, soporte o evidencia." sqref="AA8 AD8" xr:uid="{00000000-0002-0000-0100-000026000000}"/>
    <dataValidation allowBlank="1" showInputMessage="1" showErrorMessage="1" prompt="Diligenciar meses durante los cuales se realizará el seguimiento a los indicadores." sqref="A3:B4" xr:uid="{00000000-0002-0000-0100-000027000000}"/>
    <dataValidation allowBlank="1" showInputMessage="1" showErrorMessage="1" prompt="Indique el año de cumplimiento de la meta." sqref="V8" xr:uid="{00000000-0002-0000-0100-000028000000}"/>
    <dataValidation type="list" allowBlank="1" showInputMessage="1" showErrorMessage="1" sqref="W9:W15" xr:uid="{00000000-0002-0000-0100-000029000000}">
      <formula1>"Incrementar,Mantener,Disminuir"</formula1>
    </dataValidation>
    <dataValidation type="list" allowBlank="1" showInputMessage="1" showErrorMessage="1" sqref="X9:X15" xr:uid="{00000000-0002-0000-0100-00002A000000}">
      <formula1>"Stock,Flujo,Capacidad,Acumulado,Reducción,Reducción periódica"</formula1>
    </dataValidation>
    <dataValidation type="list" allowBlank="1" showInputMessage="1" showErrorMessage="1" sqref="AF9:AF15" xr:uid="{00000000-0002-0000-0100-00002B000000}">
      <formula1>"0-5,6-11,12-18,14-26,27-59,60 años o más,Todas las edades"</formula1>
    </dataValidation>
    <dataValidation type="list" allowBlank="1" showInputMessage="1" showErrorMessage="1" sqref="E9:E15" xr:uid="{00000000-0002-0000-0100-00002C000000}">
      <formula1>"Reconocimiento y confianza,Agenciamiento y modelos de representación,Gobernanza y gobernabilidad"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M15"/>
  <sheetViews>
    <sheetView tabSelected="1" zoomScale="70" zoomScaleNormal="70" workbookViewId="0">
      <selection activeCell="B9" sqref="B9"/>
    </sheetView>
  </sheetViews>
  <sheetFormatPr baseColWidth="10" defaultColWidth="11.453125" defaultRowHeight="15" customHeight="1" x14ac:dyDescent="0.25"/>
  <cols>
    <col min="1" max="1" width="13.81640625" style="6" customWidth="1"/>
    <col min="2" max="4" width="16.453125" style="6" customWidth="1"/>
    <col min="5" max="5" width="23.81640625" style="6" customWidth="1"/>
    <col min="6" max="7" width="24.1796875" style="6" customWidth="1"/>
    <col min="8" max="8" width="27.1796875" style="6" bestFit="1" customWidth="1"/>
    <col min="9" max="9" width="35.7265625" style="6" customWidth="1"/>
    <col min="10" max="10" width="17.453125" style="9" customWidth="1"/>
    <col min="11" max="11" width="22.7265625" style="3" bestFit="1" customWidth="1"/>
    <col min="12" max="12" width="17.453125" style="6" bestFit="1" customWidth="1"/>
    <col min="13" max="13" width="19.7265625" style="6" bestFit="1" customWidth="1"/>
    <col min="14" max="14" width="21.7265625" style="6" bestFit="1" customWidth="1"/>
    <col min="15" max="15" width="17.453125" style="6" customWidth="1"/>
    <col min="16" max="16" width="21.26953125" style="6" customWidth="1"/>
    <col min="17" max="17" width="22.7265625" style="6" bestFit="1" customWidth="1"/>
    <col min="18" max="18" width="17.26953125" style="6" bestFit="1" customWidth="1"/>
    <col min="19" max="19" width="15.7265625" style="6" bestFit="1" customWidth="1"/>
    <col min="20" max="20" width="23.453125" style="6" bestFit="1" customWidth="1"/>
    <col min="21" max="21" width="17.453125" style="3" customWidth="1"/>
    <col min="22" max="22" width="16" style="6" bestFit="1" customWidth="1"/>
    <col min="23" max="23" width="22.453125" style="6" bestFit="1" customWidth="1"/>
    <col min="24" max="24" width="19" style="6" bestFit="1" customWidth="1"/>
    <col min="25" max="25" width="15.54296875" style="6" customWidth="1"/>
    <col min="26" max="26" width="39.1796875" style="6" customWidth="1"/>
    <col min="27" max="27" width="18.453125" style="6" customWidth="1"/>
    <col min="28" max="28" width="24.453125" style="6" customWidth="1"/>
    <col min="29" max="29" width="41.26953125" style="6" customWidth="1"/>
    <col min="30" max="31" width="18" style="6" customWidth="1"/>
    <col min="32" max="32" width="15.453125" style="6" customWidth="1"/>
    <col min="33" max="33" width="14.7265625" style="6" customWidth="1"/>
    <col min="34" max="34" width="27.453125" style="6" customWidth="1"/>
    <col min="35" max="35" width="13.7265625" style="6" customWidth="1"/>
    <col min="36" max="36" width="12.453125" style="6" customWidth="1"/>
    <col min="37" max="37" width="16.453125" style="6" customWidth="1"/>
    <col min="38" max="38" width="12.26953125" style="6" customWidth="1"/>
    <col min="39" max="39" width="18.453125" style="6" customWidth="1"/>
    <col min="40" max="40" width="13.26953125" style="6" customWidth="1"/>
    <col min="41" max="43" width="9.1796875" style="6"/>
    <col min="44" max="44" width="27.81640625" style="6" customWidth="1"/>
    <col min="45" max="49" width="19.453125" style="3" customWidth="1"/>
    <col min="50" max="50" width="13.453125" style="6" customWidth="1"/>
    <col min="51" max="51" width="25.1796875" style="6" customWidth="1"/>
    <col min="52" max="52" width="13.453125" style="6" customWidth="1"/>
    <col min="53" max="53" width="18" style="6" customWidth="1"/>
    <col min="54" max="54" width="18.7265625" style="6" customWidth="1"/>
    <col min="55" max="55" width="13.81640625" style="6" customWidth="1"/>
    <col min="56" max="56" width="22.26953125" style="6" customWidth="1"/>
    <col min="57" max="88" width="11.453125" style="6" customWidth="1"/>
    <col min="89" max="90" width="9.1796875" style="6"/>
    <col min="91" max="16384" width="11.453125" style="6"/>
  </cols>
  <sheetData>
    <row r="1" spans="1:91" ht="109.5" customHeight="1" x14ac:dyDescent="0.25">
      <c r="A1" s="62" t="s">
        <v>135</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row>
    <row r="2" spans="1:91" ht="13" customHeight="1" x14ac:dyDescent="0.25">
      <c r="A2" s="19"/>
      <c r="B2" s="19"/>
      <c r="C2" s="19"/>
      <c r="D2" s="19"/>
      <c r="E2" s="19"/>
      <c r="F2" s="19"/>
      <c r="G2" s="19"/>
      <c r="H2" s="65" t="s">
        <v>136</v>
      </c>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row>
    <row r="3" spans="1:91" ht="12.75" customHeight="1" x14ac:dyDescent="0.25">
      <c r="A3" s="72" t="s">
        <v>137</v>
      </c>
      <c r="B3" s="72"/>
      <c r="C3" s="20" t="s">
        <v>138</v>
      </c>
      <c r="D3" s="21" t="s">
        <v>215</v>
      </c>
      <c r="E3" s="72" t="s">
        <v>140</v>
      </c>
      <c r="F3" s="22">
        <v>2025</v>
      </c>
      <c r="G3" s="23"/>
      <c r="H3" s="67"/>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row>
    <row r="4" spans="1:91" ht="13" x14ac:dyDescent="0.25">
      <c r="A4" s="72"/>
      <c r="B4" s="72"/>
      <c r="C4" s="20" t="s">
        <v>141</v>
      </c>
      <c r="D4" s="21" t="s">
        <v>142</v>
      </c>
      <c r="E4" s="72"/>
      <c r="F4" s="22">
        <v>2025</v>
      </c>
      <c r="G4" s="23"/>
      <c r="H4" s="67"/>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c r="BA4" s="68"/>
      <c r="BB4" s="68"/>
      <c r="BC4" s="68"/>
      <c r="BD4" s="68"/>
    </row>
    <row r="5" spans="1:91" s="7" customFormat="1" ht="12.5" x14ac:dyDescent="0.25">
      <c r="A5" s="2"/>
      <c r="B5" s="2"/>
      <c r="C5" s="2"/>
      <c r="D5" s="2"/>
      <c r="E5" s="2"/>
      <c r="F5" s="2"/>
      <c r="G5" s="2"/>
      <c r="H5" s="69"/>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row>
    <row r="6" spans="1:91" ht="12.75" customHeight="1" x14ac:dyDescent="0.25">
      <c r="A6" s="64" t="s">
        <v>143</v>
      </c>
      <c r="B6" s="64"/>
      <c r="C6" s="64"/>
      <c r="D6" s="64" t="s">
        <v>144</v>
      </c>
      <c r="E6" s="64"/>
      <c r="F6" s="64"/>
      <c r="G6" s="64"/>
      <c r="H6" s="64"/>
      <c r="I6" s="64"/>
      <c r="J6" s="64"/>
      <c r="K6" s="71" t="s">
        <v>145</v>
      </c>
      <c r="L6" s="71"/>
      <c r="M6" s="71"/>
      <c r="N6" s="71"/>
      <c r="O6" s="71"/>
      <c r="P6" s="71"/>
      <c r="Q6" s="71"/>
      <c r="R6" s="71" t="s">
        <v>146</v>
      </c>
      <c r="S6" s="71"/>
      <c r="T6" s="71"/>
      <c r="U6" s="71"/>
      <c r="V6" s="71"/>
      <c r="W6" s="71"/>
      <c r="X6" s="71"/>
      <c r="Y6" s="64" t="s">
        <v>147</v>
      </c>
      <c r="Z6" s="64"/>
      <c r="AA6" s="64"/>
      <c r="AB6" s="64"/>
      <c r="AC6" s="64"/>
      <c r="AD6" s="64"/>
      <c r="AE6" s="64"/>
      <c r="AF6" s="64"/>
      <c r="AG6" s="64"/>
      <c r="AH6" s="64"/>
      <c r="AI6" s="64"/>
      <c r="AJ6" s="64"/>
      <c r="AK6" s="64" t="s">
        <v>216</v>
      </c>
      <c r="AL6" s="64"/>
      <c r="AM6" s="64"/>
      <c r="AN6" s="64"/>
      <c r="AO6" s="64"/>
      <c r="AP6" s="64"/>
      <c r="AQ6" s="64"/>
      <c r="AR6" s="64"/>
      <c r="AS6" s="64" t="s">
        <v>148</v>
      </c>
      <c r="AT6" s="64"/>
      <c r="AU6" s="64"/>
      <c r="AV6" s="64"/>
      <c r="AW6" s="64"/>
      <c r="AX6" s="64" t="s">
        <v>149</v>
      </c>
      <c r="AY6" s="64"/>
      <c r="AZ6" s="64"/>
      <c r="BA6" s="64"/>
      <c r="BB6" s="64"/>
      <c r="BC6" s="64"/>
      <c r="BD6" s="1" t="s">
        <v>150</v>
      </c>
      <c r="BE6" s="74"/>
    </row>
    <row r="7" spans="1:91" ht="15" customHeight="1" x14ac:dyDescent="0.25">
      <c r="A7" s="64"/>
      <c r="B7" s="64"/>
      <c r="C7" s="64"/>
      <c r="D7" s="64"/>
      <c r="E7" s="64"/>
      <c r="F7" s="64"/>
      <c r="G7" s="64"/>
      <c r="H7" s="64"/>
      <c r="I7" s="64"/>
      <c r="J7" s="64"/>
      <c r="K7" s="71"/>
      <c r="L7" s="71"/>
      <c r="M7" s="71"/>
      <c r="N7" s="71"/>
      <c r="O7" s="71"/>
      <c r="P7" s="71"/>
      <c r="Q7" s="71"/>
      <c r="R7" s="71"/>
      <c r="S7" s="71"/>
      <c r="T7" s="71"/>
      <c r="U7" s="71"/>
      <c r="V7" s="71"/>
      <c r="W7" s="71"/>
      <c r="X7" s="71"/>
      <c r="Y7" s="64" t="s">
        <v>217</v>
      </c>
      <c r="Z7" s="64"/>
      <c r="AA7" s="64"/>
      <c r="AB7" s="64" t="s">
        <v>218</v>
      </c>
      <c r="AC7" s="64"/>
      <c r="AD7" s="64"/>
      <c r="AE7" s="64" t="s">
        <v>219</v>
      </c>
      <c r="AF7" s="64"/>
      <c r="AG7" s="64"/>
      <c r="AH7" s="75" t="s">
        <v>220</v>
      </c>
      <c r="AI7" s="76"/>
      <c r="AJ7" s="77"/>
      <c r="AK7" s="73" t="s">
        <v>221</v>
      </c>
      <c r="AL7" s="73"/>
      <c r="AM7" s="73"/>
      <c r="AN7" s="73"/>
      <c r="AO7" s="73"/>
      <c r="AP7" s="73"/>
      <c r="AQ7" s="73"/>
      <c r="AR7" s="18" t="s">
        <v>153</v>
      </c>
      <c r="AS7" s="71" t="s">
        <v>154</v>
      </c>
      <c r="AT7" s="71"/>
      <c r="AU7" s="71"/>
      <c r="AV7" s="71"/>
      <c r="AW7" s="71"/>
      <c r="AX7" s="73" t="s">
        <v>155</v>
      </c>
      <c r="AY7" s="73"/>
      <c r="AZ7" s="73"/>
      <c r="BA7" s="73"/>
      <c r="BB7" s="73"/>
      <c r="BC7" s="73"/>
      <c r="BD7" s="1" t="s">
        <v>156</v>
      </c>
      <c r="BE7" s="74"/>
    </row>
    <row r="8" spans="1:91" s="8" customFormat="1" ht="69" customHeight="1" x14ac:dyDescent="0.25">
      <c r="A8" s="1" t="s">
        <v>157</v>
      </c>
      <c r="B8" s="1" t="s">
        <v>158</v>
      </c>
      <c r="C8" s="1" t="s">
        <v>159</v>
      </c>
      <c r="D8" s="1" t="s">
        <v>160</v>
      </c>
      <c r="E8" s="1" t="s">
        <v>37</v>
      </c>
      <c r="F8" s="1" t="s">
        <v>43</v>
      </c>
      <c r="G8" s="1" t="s">
        <v>161</v>
      </c>
      <c r="H8" s="1" t="s">
        <v>162</v>
      </c>
      <c r="I8" s="1" t="s">
        <v>163</v>
      </c>
      <c r="J8" s="1" t="s">
        <v>53</v>
      </c>
      <c r="K8" s="1" t="s">
        <v>55</v>
      </c>
      <c r="L8" s="1" t="s">
        <v>57</v>
      </c>
      <c r="M8" s="1" t="s">
        <v>59</v>
      </c>
      <c r="N8" s="1" t="s">
        <v>61</v>
      </c>
      <c r="O8" s="1" t="s">
        <v>164</v>
      </c>
      <c r="P8" s="1" t="s">
        <v>165</v>
      </c>
      <c r="Q8" s="1" t="s">
        <v>166</v>
      </c>
      <c r="R8" s="1" t="s">
        <v>167</v>
      </c>
      <c r="S8" s="1" t="s">
        <v>168</v>
      </c>
      <c r="T8" s="1" t="s">
        <v>169</v>
      </c>
      <c r="U8" s="1" t="s">
        <v>75</v>
      </c>
      <c r="V8" s="1" t="s">
        <v>170</v>
      </c>
      <c r="W8" s="1" t="s">
        <v>171</v>
      </c>
      <c r="X8" s="1" t="s">
        <v>172</v>
      </c>
      <c r="Y8" s="1" t="s">
        <v>83</v>
      </c>
      <c r="Z8" s="1" t="s">
        <v>173</v>
      </c>
      <c r="AA8" s="1" t="s">
        <v>174</v>
      </c>
      <c r="AB8" s="1" t="s">
        <v>83</v>
      </c>
      <c r="AC8" s="1" t="s">
        <v>173</v>
      </c>
      <c r="AD8" s="1" t="s">
        <v>174</v>
      </c>
      <c r="AE8" s="1" t="s">
        <v>83</v>
      </c>
      <c r="AF8" s="1" t="s">
        <v>173</v>
      </c>
      <c r="AG8" s="1" t="s">
        <v>174</v>
      </c>
      <c r="AH8" s="1" t="s">
        <v>83</v>
      </c>
      <c r="AI8" s="1" t="s">
        <v>173</v>
      </c>
      <c r="AJ8" s="1" t="s">
        <v>174</v>
      </c>
      <c r="AK8" s="24" t="s">
        <v>222</v>
      </c>
      <c r="AL8" s="24" t="s">
        <v>175</v>
      </c>
      <c r="AM8" s="24" t="s">
        <v>176</v>
      </c>
      <c r="AN8" s="24" t="s">
        <v>177</v>
      </c>
      <c r="AO8" s="24" t="s">
        <v>178</v>
      </c>
      <c r="AP8" s="24" t="s">
        <v>179</v>
      </c>
      <c r="AQ8" s="24" t="s">
        <v>180</v>
      </c>
      <c r="AR8" s="24" t="s">
        <v>181</v>
      </c>
      <c r="AS8" s="24" t="s">
        <v>182</v>
      </c>
      <c r="AT8" s="24" t="s">
        <v>183</v>
      </c>
      <c r="AU8" s="24" t="s">
        <v>95</v>
      </c>
      <c r="AV8" s="24" t="s">
        <v>184</v>
      </c>
      <c r="AW8" s="24" t="s">
        <v>99</v>
      </c>
      <c r="AX8" s="24" t="s">
        <v>185</v>
      </c>
      <c r="AY8" s="24" t="s">
        <v>103</v>
      </c>
      <c r="AZ8" s="24" t="s">
        <v>105</v>
      </c>
      <c r="BA8" s="24" t="s">
        <v>186</v>
      </c>
      <c r="BB8" s="24" t="s">
        <v>187</v>
      </c>
      <c r="BC8" s="24" t="s">
        <v>131</v>
      </c>
      <c r="BD8" s="24" t="s">
        <v>188</v>
      </c>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row>
    <row r="9" spans="1:91" ht="129" customHeight="1" x14ac:dyDescent="0.25">
      <c r="A9" s="43" t="s">
        <v>189</v>
      </c>
      <c r="B9" s="44" t="s">
        <v>190</v>
      </c>
      <c r="C9" s="44" t="s">
        <v>191</v>
      </c>
      <c r="D9" s="43">
        <v>421</v>
      </c>
      <c r="E9" s="43" t="s">
        <v>192</v>
      </c>
      <c r="F9" s="43" t="s">
        <v>193</v>
      </c>
      <c r="G9" s="43" t="s">
        <v>194</v>
      </c>
      <c r="H9" s="44" t="s">
        <v>223</v>
      </c>
      <c r="I9" s="44" t="s">
        <v>228</v>
      </c>
      <c r="J9" s="44" t="s">
        <v>195</v>
      </c>
      <c r="K9" s="43" t="s">
        <v>196</v>
      </c>
      <c r="L9" s="45" t="s">
        <v>242</v>
      </c>
      <c r="M9" s="44" t="s">
        <v>243</v>
      </c>
      <c r="N9" s="44" t="s">
        <v>288</v>
      </c>
      <c r="O9" s="43" t="s">
        <v>227</v>
      </c>
      <c r="P9" s="43" t="s">
        <v>198</v>
      </c>
      <c r="Q9" s="46" t="s">
        <v>247</v>
      </c>
      <c r="R9" s="43" t="s">
        <v>248</v>
      </c>
      <c r="S9" s="43" t="s">
        <v>248</v>
      </c>
      <c r="T9" s="43" t="s">
        <v>248</v>
      </c>
      <c r="U9" s="47">
        <v>1</v>
      </c>
      <c r="V9" s="43">
        <v>2025</v>
      </c>
      <c r="W9" s="44" t="s">
        <v>232</v>
      </c>
      <c r="X9" s="44" t="s">
        <v>233</v>
      </c>
      <c r="Y9" s="48">
        <f>121/228</f>
        <v>0.5307017543859649</v>
      </c>
      <c r="Z9" s="44" t="s">
        <v>252</v>
      </c>
      <c r="AA9" s="44" t="s">
        <v>288</v>
      </c>
      <c r="AB9" s="49">
        <f>216/228</f>
        <v>0.94736842105263153</v>
      </c>
      <c r="AC9" s="44" t="s">
        <v>290</v>
      </c>
      <c r="AD9" s="44" t="s">
        <v>288</v>
      </c>
      <c r="AE9" s="34">
        <v>0.97</v>
      </c>
      <c r="AF9" s="44" t="s">
        <v>303</v>
      </c>
      <c r="AG9" s="44" t="s">
        <v>288</v>
      </c>
      <c r="AH9" s="34">
        <v>0.98</v>
      </c>
      <c r="AI9" s="44" t="s">
        <v>307</v>
      </c>
      <c r="AJ9" s="44" t="s">
        <v>288</v>
      </c>
      <c r="AK9" s="44" t="s">
        <v>258</v>
      </c>
      <c r="AL9" s="43" t="s">
        <v>248</v>
      </c>
      <c r="AM9" s="44" t="s">
        <v>259</v>
      </c>
      <c r="AN9" s="43" t="s">
        <v>248</v>
      </c>
      <c r="AO9" s="43" t="s">
        <v>248</v>
      </c>
      <c r="AP9" s="43" t="s">
        <v>248</v>
      </c>
      <c r="AQ9" s="43" t="s">
        <v>248</v>
      </c>
      <c r="AR9" s="44" t="s">
        <v>249</v>
      </c>
      <c r="AS9" s="43">
        <v>711</v>
      </c>
      <c r="AT9" s="43" t="s">
        <v>199</v>
      </c>
      <c r="AU9" s="43" t="s">
        <v>253</v>
      </c>
      <c r="AV9" s="43">
        <v>711</v>
      </c>
      <c r="AW9" s="43" t="s">
        <v>199</v>
      </c>
      <c r="AX9" s="43">
        <v>240059</v>
      </c>
      <c r="AY9" s="50" t="s">
        <v>260</v>
      </c>
      <c r="AZ9" s="49">
        <v>1</v>
      </c>
      <c r="BA9" s="51">
        <v>20134121071</v>
      </c>
      <c r="BB9" s="51">
        <v>20066308762</v>
      </c>
      <c r="BC9" s="44" t="s">
        <v>250</v>
      </c>
      <c r="BD9" s="44"/>
    </row>
    <row r="10" spans="1:91" ht="133.5" customHeight="1" x14ac:dyDescent="0.25">
      <c r="A10" s="43" t="s">
        <v>189</v>
      </c>
      <c r="B10" s="44" t="s">
        <v>200</v>
      </c>
      <c r="C10" s="44" t="s">
        <v>191</v>
      </c>
      <c r="D10" s="43">
        <v>422</v>
      </c>
      <c r="E10" s="43" t="s">
        <v>192</v>
      </c>
      <c r="F10" s="43" t="s">
        <v>193</v>
      </c>
      <c r="G10" s="43" t="s">
        <v>201</v>
      </c>
      <c r="H10" s="44" t="s">
        <v>226</v>
      </c>
      <c r="I10" s="44" t="s">
        <v>229</v>
      </c>
      <c r="J10" s="44" t="s">
        <v>195</v>
      </c>
      <c r="K10" s="43" t="s">
        <v>196</v>
      </c>
      <c r="L10" s="45" t="s">
        <v>242</v>
      </c>
      <c r="M10" s="44" t="s">
        <v>244</v>
      </c>
      <c r="N10" s="44" t="s">
        <v>288</v>
      </c>
      <c r="O10" s="43" t="s">
        <v>227</v>
      </c>
      <c r="P10" s="43" t="s">
        <v>198</v>
      </c>
      <c r="Q10" s="46" t="s">
        <v>247</v>
      </c>
      <c r="R10" s="43" t="s">
        <v>248</v>
      </c>
      <c r="S10" s="43" t="s">
        <v>248</v>
      </c>
      <c r="T10" s="43" t="s">
        <v>248</v>
      </c>
      <c r="U10" s="47">
        <v>1</v>
      </c>
      <c r="V10" s="43">
        <v>2025</v>
      </c>
      <c r="W10" s="44" t="s">
        <v>232</v>
      </c>
      <c r="X10" s="44" t="s">
        <v>233</v>
      </c>
      <c r="Y10" s="48">
        <f>107/228</f>
        <v>0.4692982456140351</v>
      </c>
      <c r="Z10" s="44" t="s">
        <v>257</v>
      </c>
      <c r="AA10" s="44" t="s">
        <v>288</v>
      </c>
      <c r="AB10" s="49">
        <v>1</v>
      </c>
      <c r="AC10" s="44" t="s">
        <v>291</v>
      </c>
      <c r="AD10" s="44" t="s">
        <v>288</v>
      </c>
      <c r="AE10" s="34">
        <v>1</v>
      </c>
      <c r="AF10" s="44" t="s">
        <v>304</v>
      </c>
      <c r="AG10" s="44" t="s">
        <v>288</v>
      </c>
      <c r="AH10" s="48">
        <v>1</v>
      </c>
      <c r="AI10" s="44" t="s">
        <v>308</v>
      </c>
      <c r="AJ10" s="44" t="s">
        <v>288</v>
      </c>
      <c r="AK10" s="44" t="s">
        <v>258</v>
      </c>
      <c r="AL10" s="43" t="s">
        <v>248</v>
      </c>
      <c r="AM10" s="44" t="s">
        <v>259</v>
      </c>
      <c r="AN10" s="43" t="s">
        <v>248</v>
      </c>
      <c r="AO10" s="43" t="s">
        <v>248</v>
      </c>
      <c r="AP10" s="43" t="s">
        <v>248</v>
      </c>
      <c r="AQ10" s="43" t="s">
        <v>248</v>
      </c>
      <c r="AR10" s="44" t="s">
        <v>249</v>
      </c>
      <c r="AS10" s="43">
        <v>711</v>
      </c>
      <c r="AT10" s="43" t="s">
        <v>199</v>
      </c>
      <c r="AU10" s="43" t="s">
        <v>253</v>
      </c>
      <c r="AV10" s="43">
        <v>711</v>
      </c>
      <c r="AW10" s="43" t="s">
        <v>199</v>
      </c>
      <c r="AX10" s="43">
        <v>240059</v>
      </c>
      <c r="AY10" s="50" t="s">
        <v>260</v>
      </c>
      <c r="AZ10" s="49">
        <v>1</v>
      </c>
      <c r="BA10" s="51">
        <v>20134121071</v>
      </c>
      <c r="BB10" s="51">
        <v>20066308762</v>
      </c>
      <c r="BC10" s="44" t="s">
        <v>250</v>
      </c>
      <c r="BD10" s="44"/>
    </row>
    <row r="11" spans="1:91" ht="141" customHeight="1" x14ac:dyDescent="0.25">
      <c r="A11" s="43" t="s">
        <v>189</v>
      </c>
      <c r="B11" s="44" t="s">
        <v>202</v>
      </c>
      <c r="C11" s="44" t="s">
        <v>191</v>
      </c>
      <c r="D11" s="43">
        <v>423</v>
      </c>
      <c r="E11" s="43" t="s">
        <v>192</v>
      </c>
      <c r="F11" s="43" t="s">
        <v>193</v>
      </c>
      <c r="G11" s="43" t="s">
        <v>201</v>
      </c>
      <c r="H11" s="44" t="s">
        <v>224</v>
      </c>
      <c r="I11" s="44" t="s">
        <v>230</v>
      </c>
      <c r="J11" s="44" t="s">
        <v>195</v>
      </c>
      <c r="K11" s="43" t="s">
        <v>196</v>
      </c>
      <c r="L11" s="45" t="s">
        <v>242</v>
      </c>
      <c r="M11" s="44" t="s">
        <v>245</v>
      </c>
      <c r="N11" s="44" t="s">
        <v>288</v>
      </c>
      <c r="O11" s="43" t="s">
        <v>227</v>
      </c>
      <c r="P11" s="43" t="s">
        <v>198</v>
      </c>
      <c r="Q11" s="46" t="s">
        <v>247</v>
      </c>
      <c r="R11" s="43" t="s">
        <v>248</v>
      </c>
      <c r="S11" s="43" t="s">
        <v>248</v>
      </c>
      <c r="T11" s="43" t="s">
        <v>248</v>
      </c>
      <c r="U11" s="47">
        <v>1</v>
      </c>
      <c r="V11" s="43">
        <v>2025</v>
      </c>
      <c r="W11" s="44" t="s">
        <v>232</v>
      </c>
      <c r="X11" s="44" t="s">
        <v>233</v>
      </c>
      <c r="Y11" s="48">
        <f>155/228</f>
        <v>0.67982456140350878</v>
      </c>
      <c r="Z11" s="44" t="s">
        <v>255</v>
      </c>
      <c r="AA11" s="44" t="s">
        <v>288</v>
      </c>
      <c r="AB11" s="49">
        <f>195/228</f>
        <v>0.85526315789473684</v>
      </c>
      <c r="AC11" s="44" t="s">
        <v>292</v>
      </c>
      <c r="AD11" s="44" t="s">
        <v>288</v>
      </c>
      <c r="AE11" s="34">
        <v>0.94</v>
      </c>
      <c r="AF11" s="44" t="s">
        <v>305</v>
      </c>
      <c r="AG11" s="44" t="s">
        <v>288</v>
      </c>
      <c r="AH11" s="48">
        <v>0.96</v>
      </c>
      <c r="AI11" s="44" t="s">
        <v>309</v>
      </c>
      <c r="AJ11" s="44" t="s">
        <v>288</v>
      </c>
      <c r="AK11" s="44" t="s">
        <v>258</v>
      </c>
      <c r="AL11" s="43" t="s">
        <v>248</v>
      </c>
      <c r="AM11" s="44" t="s">
        <v>259</v>
      </c>
      <c r="AN11" s="43" t="s">
        <v>248</v>
      </c>
      <c r="AO11" s="43" t="s">
        <v>248</v>
      </c>
      <c r="AP11" s="43" t="s">
        <v>248</v>
      </c>
      <c r="AQ11" s="43" t="s">
        <v>248</v>
      </c>
      <c r="AR11" s="44" t="s">
        <v>249</v>
      </c>
      <c r="AS11" s="43">
        <v>711</v>
      </c>
      <c r="AT11" s="43" t="s">
        <v>199</v>
      </c>
      <c r="AU11" s="43" t="s">
        <v>253</v>
      </c>
      <c r="AV11" s="43">
        <v>711</v>
      </c>
      <c r="AW11" s="43" t="s">
        <v>199</v>
      </c>
      <c r="AX11" s="43">
        <v>240059</v>
      </c>
      <c r="AY11" s="50" t="s">
        <v>260</v>
      </c>
      <c r="AZ11" s="49">
        <v>1</v>
      </c>
      <c r="BA11" s="51">
        <v>20134121071</v>
      </c>
      <c r="BB11" s="51">
        <v>20066308762</v>
      </c>
      <c r="BC11" s="44" t="s">
        <v>250</v>
      </c>
      <c r="BD11" s="44"/>
    </row>
    <row r="12" spans="1:91" ht="409.5" x14ac:dyDescent="0.25">
      <c r="A12" s="43" t="s">
        <v>189</v>
      </c>
      <c r="B12" s="44" t="s">
        <v>203</v>
      </c>
      <c r="C12" s="44" t="s">
        <v>204</v>
      </c>
      <c r="D12" s="43">
        <v>424</v>
      </c>
      <c r="E12" s="43" t="s">
        <v>205</v>
      </c>
      <c r="F12" s="43" t="s">
        <v>206</v>
      </c>
      <c r="G12" s="43" t="s">
        <v>194</v>
      </c>
      <c r="H12" s="44" t="s">
        <v>203</v>
      </c>
      <c r="I12" s="44" t="s">
        <v>263</v>
      </c>
      <c r="J12" s="44" t="s">
        <v>195</v>
      </c>
      <c r="K12" s="43" t="s">
        <v>196</v>
      </c>
      <c r="L12" s="44" t="s">
        <v>264</v>
      </c>
      <c r="M12" s="44" t="s">
        <v>265</v>
      </c>
      <c r="N12" s="44" t="s">
        <v>266</v>
      </c>
      <c r="O12" s="43" t="s">
        <v>197</v>
      </c>
      <c r="P12" s="43" t="s">
        <v>198</v>
      </c>
      <c r="Q12" s="52" t="s">
        <v>267</v>
      </c>
      <c r="R12" s="44" t="s">
        <v>281</v>
      </c>
      <c r="S12" s="44" t="s">
        <v>268</v>
      </c>
      <c r="T12" s="44" t="s">
        <v>268</v>
      </c>
      <c r="U12" s="53">
        <v>1200</v>
      </c>
      <c r="V12" s="43">
        <v>2025</v>
      </c>
      <c r="W12" s="44" t="s">
        <v>232</v>
      </c>
      <c r="X12" s="44" t="s">
        <v>262</v>
      </c>
      <c r="Y12" s="43">
        <v>0</v>
      </c>
      <c r="Z12" s="44" t="s">
        <v>282</v>
      </c>
      <c r="AA12" s="44" t="s">
        <v>270</v>
      </c>
      <c r="AB12" s="54">
        <v>662</v>
      </c>
      <c r="AC12" s="54" t="s">
        <v>294</v>
      </c>
      <c r="AD12" s="43" t="s">
        <v>295</v>
      </c>
      <c r="AE12" s="43">
        <v>942</v>
      </c>
      <c r="AF12" s="44" t="s">
        <v>299</v>
      </c>
      <c r="AG12" s="44" t="s">
        <v>295</v>
      </c>
      <c r="AH12" s="43">
        <v>1239</v>
      </c>
      <c r="AI12" s="44" t="s">
        <v>310</v>
      </c>
      <c r="AJ12" s="44" t="s">
        <v>295</v>
      </c>
      <c r="AK12" s="44" t="s">
        <v>258</v>
      </c>
      <c r="AL12" s="44" t="s">
        <v>268</v>
      </c>
      <c r="AM12" s="44" t="s">
        <v>271</v>
      </c>
      <c r="AN12" s="44" t="s">
        <v>268</v>
      </c>
      <c r="AO12" s="44" t="s">
        <v>268</v>
      </c>
      <c r="AP12" s="44" t="s">
        <v>268</v>
      </c>
      <c r="AQ12" s="44" t="s">
        <v>268</v>
      </c>
      <c r="AR12" s="44" t="s">
        <v>249</v>
      </c>
      <c r="AS12" s="43">
        <v>711</v>
      </c>
      <c r="AT12" s="43" t="s">
        <v>199</v>
      </c>
      <c r="AU12" s="43" t="s">
        <v>272</v>
      </c>
      <c r="AV12" s="43">
        <v>711</v>
      </c>
      <c r="AW12" s="43" t="s">
        <v>199</v>
      </c>
      <c r="AX12" s="44">
        <v>240051</v>
      </c>
      <c r="AY12" s="44" t="s">
        <v>283</v>
      </c>
      <c r="AZ12" s="44">
        <v>1200</v>
      </c>
      <c r="BA12" s="55">
        <v>300723032</v>
      </c>
      <c r="BB12" s="55">
        <v>0</v>
      </c>
      <c r="BC12" s="44" t="s">
        <v>250</v>
      </c>
      <c r="BD12" s="44"/>
    </row>
    <row r="13" spans="1:91" ht="122.25" customHeight="1" x14ac:dyDescent="0.25">
      <c r="A13" s="43" t="s">
        <v>189</v>
      </c>
      <c r="B13" s="44" t="s">
        <v>207</v>
      </c>
      <c r="C13" s="44" t="s">
        <v>191</v>
      </c>
      <c r="D13" s="43">
        <v>426</v>
      </c>
      <c r="E13" s="43" t="s">
        <v>205</v>
      </c>
      <c r="F13" s="43" t="s">
        <v>208</v>
      </c>
      <c r="G13" s="43" t="s">
        <v>209</v>
      </c>
      <c r="H13" s="44" t="s">
        <v>225</v>
      </c>
      <c r="I13" s="44" t="s">
        <v>231</v>
      </c>
      <c r="J13" s="44" t="s">
        <v>195</v>
      </c>
      <c r="K13" s="43" t="s">
        <v>196</v>
      </c>
      <c r="L13" s="45" t="s">
        <v>242</v>
      </c>
      <c r="M13" s="44" t="s">
        <v>246</v>
      </c>
      <c r="N13" s="44" t="s">
        <v>288</v>
      </c>
      <c r="O13" s="43" t="s">
        <v>227</v>
      </c>
      <c r="P13" s="43" t="s">
        <v>198</v>
      </c>
      <c r="Q13" s="46" t="s">
        <v>247</v>
      </c>
      <c r="R13" s="43" t="s">
        <v>248</v>
      </c>
      <c r="S13" s="43" t="s">
        <v>248</v>
      </c>
      <c r="T13" s="43" t="s">
        <v>248</v>
      </c>
      <c r="U13" s="47">
        <v>1</v>
      </c>
      <c r="V13" s="43">
        <v>2025</v>
      </c>
      <c r="W13" s="44" t="s">
        <v>232</v>
      </c>
      <c r="X13" s="44" t="s">
        <v>233</v>
      </c>
      <c r="Y13" s="48">
        <f>224/228</f>
        <v>0.98245614035087714</v>
      </c>
      <c r="Z13" s="44" t="s">
        <v>256</v>
      </c>
      <c r="AA13" s="44" t="s">
        <v>288</v>
      </c>
      <c r="AB13" s="49">
        <v>1</v>
      </c>
      <c r="AC13" s="44" t="s">
        <v>293</v>
      </c>
      <c r="AD13" s="44" t="s">
        <v>288</v>
      </c>
      <c r="AE13" s="34">
        <v>1</v>
      </c>
      <c r="AF13" s="44" t="s">
        <v>306</v>
      </c>
      <c r="AG13" s="44" t="s">
        <v>288</v>
      </c>
      <c r="AH13" s="34">
        <v>1</v>
      </c>
      <c r="AI13" s="44" t="s">
        <v>314</v>
      </c>
      <c r="AJ13" s="44" t="s">
        <v>288</v>
      </c>
      <c r="AK13" s="44" t="s">
        <v>258</v>
      </c>
      <c r="AL13" s="43" t="s">
        <v>248</v>
      </c>
      <c r="AM13" s="44" t="s">
        <v>259</v>
      </c>
      <c r="AN13" s="43" t="s">
        <v>248</v>
      </c>
      <c r="AO13" s="43" t="s">
        <v>248</v>
      </c>
      <c r="AP13" s="43" t="s">
        <v>248</v>
      </c>
      <c r="AQ13" s="43" t="s">
        <v>248</v>
      </c>
      <c r="AR13" s="44" t="s">
        <v>249</v>
      </c>
      <c r="AS13" s="43">
        <v>711</v>
      </c>
      <c r="AT13" s="43" t="s">
        <v>199</v>
      </c>
      <c r="AU13" s="43" t="s">
        <v>253</v>
      </c>
      <c r="AV13" s="43">
        <v>711</v>
      </c>
      <c r="AW13" s="43" t="s">
        <v>199</v>
      </c>
      <c r="AX13" s="43">
        <v>240059</v>
      </c>
      <c r="AY13" s="50" t="s">
        <v>260</v>
      </c>
      <c r="AZ13" s="49">
        <v>1</v>
      </c>
      <c r="BA13" s="51">
        <v>20134121071</v>
      </c>
      <c r="BB13" s="51">
        <v>20066308762</v>
      </c>
      <c r="BC13" s="44" t="s">
        <v>250</v>
      </c>
      <c r="BD13" s="44"/>
    </row>
    <row r="14" spans="1:91" ht="409.5" x14ac:dyDescent="0.25">
      <c r="A14" s="43" t="s">
        <v>189</v>
      </c>
      <c r="B14" s="44" t="s">
        <v>210</v>
      </c>
      <c r="C14" s="44" t="s">
        <v>204</v>
      </c>
      <c r="D14" s="43">
        <v>427</v>
      </c>
      <c r="E14" s="43" t="s">
        <v>205</v>
      </c>
      <c r="F14" s="43" t="s">
        <v>208</v>
      </c>
      <c r="G14" s="43" t="s">
        <v>194</v>
      </c>
      <c r="H14" s="44" t="s">
        <v>210</v>
      </c>
      <c r="I14" s="44" t="s">
        <v>211</v>
      </c>
      <c r="J14" s="44" t="s">
        <v>195</v>
      </c>
      <c r="K14" s="43" t="s">
        <v>196</v>
      </c>
      <c r="L14" s="44" t="s">
        <v>264</v>
      </c>
      <c r="M14" s="44" t="s">
        <v>274</v>
      </c>
      <c r="N14" s="44" t="s">
        <v>266</v>
      </c>
      <c r="O14" s="43" t="s">
        <v>197</v>
      </c>
      <c r="P14" s="43" t="s">
        <v>198</v>
      </c>
      <c r="Q14" s="52" t="s">
        <v>267</v>
      </c>
      <c r="R14" s="44" t="s">
        <v>281</v>
      </c>
      <c r="S14" s="44" t="s">
        <v>268</v>
      </c>
      <c r="T14" s="44" t="s">
        <v>268</v>
      </c>
      <c r="U14" s="56">
        <v>250</v>
      </c>
      <c r="V14" s="43">
        <v>2025</v>
      </c>
      <c r="W14" s="44" t="s">
        <v>232</v>
      </c>
      <c r="X14" s="44" t="s">
        <v>261</v>
      </c>
      <c r="Y14" s="44">
        <v>0</v>
      </c>
      <c r="Z14" s="44" t="s">
        <v>284</v>
      </c>
      <c r="AA14" s="44" t="s">
        <v>289</v>
      </c>
      <c r="AB14" s="54">
        <v>118</v>
      </c>
      <c r="AC14" s="54" t="s">
        <v>296</v>
      </c>
      <c r="AD14" s="43" t="s">
        <v>297</v>
      </c>
      <c r="AE14" s="54">
        <v>188</v>
      </c>
      <c r="AF14" s="44" t="s">
        <v>302</v>
      </c>
      <c r="AG14" s="44" t="s">
        <v>300</v>
      </c>
      <c r="AH14" s="43">
        <v>260</v>
      </c>
      <c r="AI14" s="44" t="s">
        <v>311</v>
      </c>
      <c r="AJ14" s="29" t="s">
        <v>312</v>
      </c>
      <c r="AK14" s="44" t="s">
        <v>258</v>
      </c>
      <c r="AL14" s="44" t="s">
        <v>268</v>
      </c>
      <c r="AM14" s="44" t="s">
        <v>259</v>
      </c>
      <c r="AN14" s="44" t="s">
        <v>268</v>
      </c>
      <c r="AO14" s="44" t="s">
        <v>268</v>
      </c>
      <c r="AP14" s="44" t="s">
        <v>268</v>
      </c>
      <c r="AQ14" s="44" t="s">
        <v>268</v>
      </c>
      <c r="AR14" s="44" t="s">
        <v>249</v>
      </c>
      <c r="AS14" s="43">
        <v>711</v>
      </c>
      <c r="AT14" s="43" t="s">
        <v>199</v>
      </c>
      <c r="AU14" s="43" t="s">
        <v>272</v>
      </c>
      <c r="AV14" s="43">
        <v>711</v>
      </c>
      <c r="AW14" s="43" t="s">
        <v>199</v>
      </c>
      <c r="AX14" s="44">
        <v>240051</v>
      </c>
      <c r="AY14" s="44" t="s">
        <v>283</v>
      </c>
      <c r="AZ14" s="44">
        <v>250</v>
      </c>
      <c r="BA14" s="55">
        <v>300723032</v>
      </c>
      <c r="BB14" s="55">
        <v>0</v>
      </c>
      <c r="BC14" s="44" t="s">
        <v>250</v>
      </c>
      <c r="BD14" s="44"/>
    </row>
    <row r="15" spans="1:91" s="36" customFormat="1" ht="275" x14ac:dyDescent="0.25">
      <c r="A15" s="29" t="s">
        <v>189</v>
      </c>
      <c r="B15" s="16" t="s">
        <v>212</v>
      </c>
      <c r="C15" s="16" t="s">
        <v>204</v>
      </c>
      <c r="D15" s="29">
        <v>428</v>
      </c>
      <c r="E15" s="29" t="s">
        <v>205</v>
      </c>
      <c r="F15" s="29" t="s">
        <v>206</v>
      </c>
      <c r="G15" s="29" t="s">
        <v>194</v>
      </c>
      <c r="H15" s="16" t="s">
        <v>212</v>
      </c>
      <c r="I15" s="16" t="s">
        <v>213</v>
      </c>
      <c r="J15" s="16" t="s">
        <v>195</v>
      </c>
      <c r="K15" s="29" t="s">
        <v>196</v>
      </c>
      <c r="L15" s="16" t="s">
        <v>264</v>
      </c>
      <c r="M15" s="16" t="s">
        <v>277</v>
      </c>
      <c r="N15" s="16" t="s">
        <v>278</v>
      </c>
      <c r="O15" s="29" t="s">
        <v>197</v>
      </c>
      <c r="P15" s="29" t="s">
        <v>214</v>
      </c>
      <c r="Q15" s="37" t="s">
        <v>267</v>
      </c>
      <c r="R15" s="16" t="s">
        <v>281</v>
      </c>
      <c r="S15" s="16" t="s">
        <v>268</v>
      </c>
      <c r="T15" s="16" t="s">
        <v>268</v>
      </c>
      <c r="U15" s="39">
        <v>250</v>
      </c>
      <c r="V15" s="29">
        <v>2025</v>
      </c>
      <c r="W15" s="16" t="s">
        <v>232</v>
      </c>
      <c r="X15" s="16" t="s">
        <v>262</v>
      </c>
      <c r="Y15" s="16">
        <v>0</v>
      </c>
      <c r="Z15" s="16" t="s">
        <v>285</v>
      </c>
      <c r="AA15" s="16" t="s">
        <v>289</v>
      </c>
      <c r="AB15" s="42">
        <v>0</v>
      </c>
      <c r="AC15" s="42" t="s">
        <v>298</v>
      </c>
      <c r="AD15" s="29" t="s">
        <v>289</v>
      </c>
      <c r="AE15" s="42">
        <v>0</v>
      </c>
      <c r="AF15" s="16" t="s">
        <v>301</v>
      </c>
      <c r="AG15" s="29" t="s">
        <v>289</v>
      </c>
      <c r="AH15" s="29">
        <v>250</v>
      </c>
      <c r="AI15" s="16" t="s">
        <v>313</v>
      </c>
      <c r="AJ15" s="44" t="s">
        <v>295</v>
      </c>
      <c r="AK15" s="16" t="s">
        <v>258</v>
      </c>
      <c r="AL15" s="16" t="s">
        <v>268</v>
      </c>
      <c r="AM15" s="16" t="s">
        <v>259</v>
      </c>
      <c r="AN15" s="16" t="s">
        <v>268</v>
      </c>
      <c r="AO15" s="16" t="s">
        <v>268</v>
      </c>
      <c r="AP15" s="16" t="s">
        <v>268</v>
      </c>
      <c r="AQ15" s="16" t="s">
        <v>268</v>
      </c>
      <c r="AR15" s="16" t="s">
        <v>249</v>
      </c>
      <c r="AS15" s="29">
        <v>711</v>
      </c>
      <c r="AT15" s="29" t="s">
        <v>199</v>
      </c>
      <c r="AU15" s="29" t="s">
        <v>272</v>
      </c>
      <c r="AV15" s="29">
        <v>711</v>
      </c>
      <c r="AW15" s="29" t="s">
        <v>199</v>
      </c>
      <c r="AX15" s="16">
        <v>240051</v>
      </c>
      <c r="AY15" s="16" t="s">
        <v>283</v>
      </c>
      <c r="AZ15" s="16">
        <v>250</v>
      </c>
      <c r="BA15" s="38">
        <v>300723032</v>
      </c>
      <c r="BB15" s="38">
        <v>0</v>
      </c>
      <c r="BC15" s="16" t="s">
        <v>250</v>
      </c>
      <c r="BD15" s="16"/>
    </row>
  </sheetData>
  <protectedRanges>
    <protectedRange sqref="L1:N8 L16:N1048576" name="Rango1"/>
    <protectedRange sqref="Q1:T8 Q16:T1048576" name="Rango2"/>
    <protectedRange sqref="W1:AJ8 W16:AJ1048576 Y9:Y11 AF13:AG13 Y13 AF10:AG11 AF9:AG9" name="Rango3"/>
    <protectedRange sqref="AK1:AR8 AK16:AR1048576 AK9:AK11 AM9:AM11 AK13 AM13" name="Rango4"/>
    <protectedRange sqref="AU1:AU8 AU16:AU1048576" name="Rango5"/>
    <protectedRange sqref="AX1:BD8 BD9:BD11 AX16:BD1048576 BD13 AX9:BB11 AX13:BB13" name="Rango6"/>
    <protectedRange sqref="Z9:Z11" name="Rango3_1"/>
    <protectedRange sqref="Z13" name="Rango3_4"/>
    <protectedRange sqref="AR9" name="Rango4_1"/>
    <protectedRange sqref="AR10" name="Rango4_2"/>
    <protectedRange sqref="AR11" name="Rango4_3"/>
    <protectedRange sqref="AR13" name="Rango4_4"/>
    <protectedRange sqref="AU9" name="Rango5_1"/>
    <protectedRange sqref="AU10" name="Rango5_2"/>
    <protectedRange sqref="AU11" name="Rango5_3"/>
    <protectedRange sqref="AU13" name="Rango5_4"/>
    <protectedRange sqref="AL9 AN9:AQ9" name="Rango2_1"/>
    <protectedRange sqref="AL10 AL13 AN10:AQ11 AN13:AQ13" name="Rango2_2"/>
    <protectedRange sqref="AL11" name="Rango2_3"/>
    <protectedRange sqref="Y12:AA12 AE12:AG12" name="Rango3_5"/>
    <protectedRange sqref="AK12:AR12" name="Rango4_5"/>
    <protectedRange sqref="W12:X12" name="Rango3_2_1"/>
    <protectedRange sqref="L12:N12" name="Rango1_2"/>
    <protectedRange sqref="Q12:T12 R14:R15" name="Rango2_3_1"/>
    <protectedRange sqref="Y14:Z14 AF14:AG14" name="Rango3_6"/>
    <protectedRange sqref="AK14:AR14" name="Rango4_6"/>
    <protectedRange sqref="Q14 S14:T14" name="Rango2_1_1"/>
    <protectedRange sqref="W14:X14" name="Rango3_2_2"/>
    <protectedRange sqref="Y15:Z15 AF15" name="Rango3_7"/>
    <protectedRange sqref="AK15:AR15" name="Rango4_7"/>
    <protectedRange sqref="Q15 S15:T15" name="Rango2_1_2"/>
    <protectedRange sqref="W15:X15" name="Rango3_2_3"/>
    <protectedRange sqref="L9:N11 AA9:AA11 AA13" name="Rango1_1"/>
    <protectedRange sqref="Q9:T11" name="Rango2_4"/>
    <protectedRange sqref="W9:X11" name="Rango3_8"/>
    <protectedRange sqref="L13:N13" name="Rango1_3"/>
    <protectedRange sqref="Q13:T13" name="Rango2_5"/>
    <protectedRange sqref="W13:X13" name="Rango3_9"/>
    <protectedRange sqref="AB9:AC11" name="Rango3_2"/>
    <protectedRange sqref="AD9:AD11" name="Rango1_1_1"/>
    <protectedRange sqref="AB13:AC13" name="Rango3_3"/>
    <protectedRange sqref="AD13" name="Rango1_1_2"/>
    <protectedRange sqref="AB12:AD12" name="Rango3_5_1"/>
    <protectedRange sqref="AD14" name="Rango3_5_2"/>
    <protectedRange sqref="AB14:AC14 AE14" name="Rango3_6_1"/>
    <protectedRange sqref="AB15:AC15 AE15" name="Rango3_7_1"/>
    <protectedRange sqref="AE9:AE11" name="Rango3_11"/>
    <protectedRange sqref="AE13" name="Rango3_12"/>
    <protectedRange sqref="AH9" name="Rango3_10"/>
    <protectedRange sqref="AI9" name="Rango3_2_4"/>
    <protectedRange sqref="AJ9" name="Rango1_1_1_1"/>
    <protectedRange sqref="AH10:AI10 AH11" name="Rango3_13"/>
    <protectedRange sqref="AI11" name="Rango3_2_5"/>
    <protectedRange sqref="AJ10:AJ11" name="Rango1_1_1_2"/>
    <protectedRange sqref="AH12:AJ12" name="Rango3_5_3"/>
    <protectedRange sqref="AJ15" name="Rango3_5_4"/>
    <protectedRange sqref="AH14:AI14" name="Rango3_6_2"/>
    <protectedRange sqref="AH15:AI15" name="Rango3_7_2"/>
    <protectedRange sqref="AI13" name="Rango3_14"/>
    <protectedRange sqref="AJ13" name="Rango1_1_1_3"/>
    <protectedRange sqref="AH13" name="Rango3_12_1"/>
  </protectedRanges>
  <autoFilter ref="A8:CJ15" xr:uid="{00000000-0009-0000-0000-000002000000}"/>
  <mergeCells count="20">
    <mergeCell ref="BE6:BE7"/>
    <mergeCell ref="Y7:AA7"/>
    <mergeCell ref="AB7:AD7"/>
    <mergeCell ref="AE7:AG7"/>
    <mergeCell ref="AH7:AJ7"/>
    <mergeCell ref="AK7:AQ7"/>
    <mergeCell ref="AS7:AW7"/>
    <mergeCell ref="A1:BD1"/>
    <mergeCell ref="H2:BD5"/>
    <mergeCell ref="A3:B4"/>
    <mergeCell ref="E3:E4"/>
    <mergeCell ref="A6:C7"/>
    <mergeCell ref="D6:J7"/>
    <mergeCell ref="K6:Q7"/>
    <mergeCell ref="R6:X7"/>
    <mergeCell ref="Y6:AJ6"/>
    <mergeCell ref="AK6:AR6"/>
    <mergeCell ref="AX7:BC7"/>
    <mergeCell ref="AS6:AW6"/>
    <mergeCell ref="AX6:BC6"/>
  </mergeCells>
  <phoneticPr fontId="5" type="noConversion"/>
  <dataValidations count="46">
    <dataValidation type="list" allowBlank="1" showInputMessage="1" showErrorMessage="1" sqref="E9:E15" xr:uid="{00000000-0002-0000-0200-000000000000}">
      <formula1>"Reconocimiento y confianza,Agenciamiento y modelos de representación,Gobernanza y gobernabilidad"</formula1>
    </dataValidation>
    <dataValidation type="list" allowBlank="1" showInputMessage="1" showErrorMessage="1" sqref="AM9:AM15" xr:uid="{00000000-0002-0000-0200-000001000000}">
      <formula1>"0-5,6-11,12-18,14-26,27-59,60 años o más,Todas las edades"</formula1>
    </dataValidation>
    <dataValidation type="list" allowBlank="1" showInputMessage="1" showErrorMessage="1" sqref="AK9:AK15" xr:uid="{00000000-0002-0000-0200-000002000000}">
      <formula1>"Femenino,Masculino,Femenino y masculino"</formula1>
    </dataValidation>
    <dataValidation type="list" allowBlank="1" showInputMessage="1" showErrorMessage="1" sqref="X9:X15" xr:uid="{00000000-0002-0000-0200-000003000000}">
      <formula1>"Stock,Flujo,Capacidad,Acumulado,Reducción,Reducción periódica"</formula1>
    </dataValidation>
    <dataValidation type="list" allowBlank="1" showInputMessage="1" showErrorMessage="1" sqref="W9:W15" xr:uid="{00000000-0002-0000-0200-000004000000}">
      <formula1>"Incrementar,Mantener,Disminuir"</formula1>
    </dataValidation>
    <dataValidation allowBlank="1" showInputMessage="1" showErrorMessage="1" prompt="Indique el año de cumplimiento de la meta." sqref="V8" xr:uid="{00000000-0002-0000-0200-000005000000}"/>
    <dataValidation allowBlank="1" showInputMessage="1" showErrorMessage="1" prompt="Diligenciar meses durante los cuales se realizará el seguimiento a los indicadores." sqref="A3:B4" xr:uid="{00000000-0002-0000-0200-000006000000}"/>
    <dataValidation allowBlank="1" showInputMessage="1" showErrorMessage="1" prompt="Describir la fuente de la cual se obtiene la información, soporte o evidencia." sqref="AA8 AD8 AG8 AJ8" xr:uid="{00000000-0002-0000-0200-000007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AF8 AI8" xr:uid="{00000000-0002-0000-0200-000008000000}"/>
    <dataValidation allowBlank="1" showInputMessage="1" showErrorMessage="1" prompt="Registre el resultado cuantitativo obtenido para la medición del indicador en el periodo correspondiente." sqref="Y8 AB8 AE8 AH8" xr:uid="{00000000-0002-0000-0200-000009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BD8" xr:uid="{00000000-0002-0000-0200-00000A000000}"/>
    <dataValidation allowBlank="1" showInputMessage="1" showErrorMessage="1" prompt="Cualquier aclaración o detalle adicional sobre el presupuesto." sqref="BC8" xr:uid="{00000000-0002-0000-0200-00000B000000}"/>
    <dataValidation allowBlank="1" showInputMessage="1" showErrorMessage="1" prompt="Monto total ejecutado para el cumplimiento de la meta." sqref="BB8" xr:uid="{00000000-0002-0000-0200-00000C000000}"/>
    <dataValidation allowBlank="1" showInputMessage="1" showErrorMessage="1" prompt="Monto total asignado para el proyecto." sqref="BA8" xr:uid="{00000000-0002-0000-0200-00000D000000}"/>
    <dataValidation allowBlank="1" showInputMessage="1" showErrorMessage="1" prompt="Meta final que busca alcanzar el proyecto. " sqref="AZ8" xr:uid="{00000000-0002-0000-0200-00000E000000}"/>
    <dataValidation allowBlank="1" showInputMessage="1" showErrorMessage="1" prompt="Nombre oficial del proyecto. " sqref="AY8" xr:uid="{00000000-0002-0000-0200-00000F000000}"/>
    <dataValidation allowBlank="1" showInputMessage="1" showErrorMessage="1" prompt="Identificador único del proyecto. " sqref="AX8" xr:uid="{00000000-0002-0000-0200-000010000000}"/>
    <dataValidation allowBlank="1" showInputMessage="1" showErrorMessage="1" prompt="Indique a qué población está dirigida la intervención." sqref="J8" xr:uid="{00000000-0002-0000-0200-000011000000}"/>
    <dataValidation allowBlank="1" showInputMessage="1" showErrorMessage="1" prompt="Asignar, según pestaña &quot;Cód y nombre dependencia&quot;" sqref="AS8:AT8 AV8:AW8" xr:uid="{00000000-0002-0000-0200-000012000000}"/>
    <dataValidation allowBlank="1" showInputMessage="1" showErrorMessage="1" prompt="Especifique la Unidad responsable del reporte de la información." sqref="AU8" xr:uid="{00000000-0002-0000-0200-000013000000}"/>
    <dataValidation allowBlank="1" showInputMessage="1" showErrorMessage="1" prompt="Según la desagregación territorial, indique las comunas o corregimientos del ámbito de intervención; puede ser uno o varios. " sqref="AR8" xr:uid="{00000000-0002-0000-0200-000014000000}"/>
    <dataValidation allowBlank="1" showInputMessage="1" showErrorMessage="1" prompt="Asigne, según la PPPC." sqref="F8:G8" xr:uid="{00000000-0002-0000-0200-000015000000}"/>
    <dataValidation allowBlank="1" showInputMessage="1" showErrorMessage="1" prompt="Seleccione, según la PPPC." sqref="E8" xr:uid="{00000000-0002-0000-0200-000016000000}"/>
    <dataValidation allowBlank="1" showInputMessage="1" showErrorMessage="1" prompt="Seleccione la manera cómo se registran los avances en el indicador a lo largo del tiempo para su respectiva medición." sqref="X8" xr:uid="{00000000-0002-0000-0200-000017000000}"/>
    <dataValidation allowBlank="1" showInputMessage="1" showErrorMessage="1" prompt="Seleccione el comportamiento desado del indicador, en tres categorias: Incrementar, mantener o dismunuir." sqref="W8" xr:uid="{00000000-0002-0000-0200-000018000000}"/>
    <dataValidation allowBlank="1" showInputMessage="1" showErrorMessage="1" prompt="Año en el cual se obtuvo la línea base del indicador." sqref="S8" xr:uid="{00000000-0002-0000-0200-000019000000}"/>
    <dataValidation allowBlank="1" showInputMessage="1" showErrorMessage="1" prompt="Fecha o periodo en que se dispone del dato para su reporte a SIEM." sqref="Q8" xr:uid="{00000000-0002-0000-0200-00001A000000}"/>
    <dataValidation allowBlank="1" showInputMessage="1" showErrorMessage="1" prompt="Fuente que produce o de la cual se extrae la información." sqref="N8" xr:uid="{00000000-0002-0000-0200-00001B000000}"/>
    <dataValidation allowBlank="1" showInputMessage="1" showErrorMessage="1" prompt="Definición o explicación de las variables que hacen parte de la fórmula del indicador." sqref="M8" xr:uid="{00000000-0002-0000-0200-00001C000000}"/>
    <dataValidation allowBlank="1" showInputMessage="1" showErrorMessage="1" prompt="Numerador y denominador que definen la forma de cálculo del indicador." sqref="L8" xr:uid="{00000000-0002-0000-0200-00001D000000}"/>
    <dataValidation allowBlank="1" showInputMessage="1" showErrorMessage="1" prompt="Nivel al que corresponde el indicador." sqref="K8" xr:uid="{00000000-0002-0000-0200-00001E000000}"/>
    <dataValidation allowBlank="1" showInputMessage="1" showErrorMessage="1" prompt="Manera cómo se medirá el producto. " sqref="I8" xr:uid="{00000000-0002-0000-0200-00001F000000}"/>
    <dataValidation allowBlank="1" showInputMessage="1" showErrorMessage="1" prompt="Escriba la Meta que se tienen programada." sqref="U8" xr:uid="{00000000-0002-0000-0200-000020000000}"/>
    <dataValidation allowBlank="1" showInputMessage="1" showErrorMessage="1" prompt="Relacionar la medida en la cual se obtiene el resultado del indicador." sqref="O8" xr:uid="{00000000-0002-0000-0200-000021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xr:uid="{00000000-0002-0000-0200-000022000000}"/>
    <dataValidation allowBlank="1" showInputMessage="1" showErrorMessage="1" prompt="Frecuencia con la cual se debe calcular y registrar los resultados del indicador." sqref="P8" xr:uid="{00000000-0002-0000-0200-000023000000}"/>
    <dataValidation allowBlank="1" showInputMessage="1" showErrorMessage="1" prompt="Debe coincidir con la unidad de medida del indicador para poder ser comparables." sqref="T8" xr:uid="{00000000-0002-0000-0200-000024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xr:uid="{00000000-0002-0000-0200-000025000000}"/>
    <dataValidation allowBlank="1" showInputMessage="1" showErrorMessage="1" prompt="Se refiere al código consecutivo asignado." sqref="D8" xr:uid="{00000000-0002-0000-0200-000026000000}"/>
    <dataValidation allowBlank="1" showInputMessage="1" showErrorMessage="1" prompt="Seleccione" sqref="AK8 AM8" xr:uid="{00000000-0002-0000-0200-000027000000}"/>
    <dataValidation allowBlank="1" showInputMessage="1" showErrorMessage="1" prompt="Marque con una X" sqref="AL8 AN8:AQ8" xr:uid="{00000000-0002-0000-0200-000028000000}"/>
    <dataValidation allowBlank="1" showInputMessage="1" showErrorMessage="1" prompt="Por favor seleccionar el Programa de acuerdo al Pilar o Eje." sqref="B8" xr:uid="{00000000-0002-0000-0200-000029000000}"/>
    <dataValidation allowBlank="1" showInputMessage="1" showErrorMessage="1" prompt="Por favor elija el Pilar o Eje del PDD." sqref="A8" xr:uid="{00000000-0002-0000-0200-00002A000000}"/>
    <dataValidation allowBlank="1" showInputMessage="1" showErrorMessage="1" prompt="Por favor seleccionar el Proyecto de acuerdo al Progama" sqref="C8" xr:uid="{00000000-0002-0000-0200-00002B000000}"/>
    <dataValidation type="list" allowBlank="1" showInputMessage="1" showErrorMessage="1" sqref="D3:D4" xr:uid="{00000000-0002-0000-0200-00002C000000}">
      <formula1>"Enero,Febrero,Marzo,Abril,Mayo,Junio,Julio,Agosto,Septiembre,Octubre,Noviembre,Diciembre"</formula1>
    </dataValidation>
    <dataValidation allowBlank="1" showErrorMessage="1" sqref="BD7" xr:uid="{00000000-0002-0000-0200-00002D000000}"/>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1. Instructivo diligenciamiento</vt:lpstr>
      <vt:lpstr>4. Seguimiento 2024...</vt:lpstr>
      <vt:lpstr>4. Seguimiento 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NATALIA URREA ARROYAVE</dc:creator>
  <cp:keywords/>
  <dc:description/>
  <cp:lastModifiedBy>Elida</cp:lastModifiedBy>
  <cp:revision/>
  <dcterms:created xsi:type="dcterms:W3CDTF">2024-11-15T15:24:52Z</dcterms:created>
  <dcterms:modified xsi:type="dcterms:W3CDTF">2026-02-05T13:19:50Z</dcterms:modified>
  <cp:category/>
  <cp:contentStatus/>
</cp:coreProperties>
</file>